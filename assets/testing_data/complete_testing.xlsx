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ema\OneDrive\Documenten\GitHub\Risky-Game-Development\assets\testing_data\"/>
    </mc:Choice>
  </mc:AlternateContent>
  <xr:revisionPtr revIDLastSave="0" documentId="13_ncr:1_{1DE29DF3-0031-48B0-9169-92414286D3FB}" xr6:coauthVersionLast="46" xr6:coauthVersionMax="46" xr10:uidLastSave="{00000000-0000-0000-0000-000000000000}"/>
  <bookViews>
    <workbookView xWindow="-108" yWindow="-108" windowWidth="23256" windowHeight="12576" activeTab="1" xr2:uid="{00000000-000D-0000-FFFF-FFFF00000000}"/>
  </bookViews>
  <sheets>
    <sheet name="complete_testing" sheetId="1" r:id="rId1"/>
    <sheet name="tables" sheetId="2" r:id="rId2"/>
    <sheet name="diagram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3" i="2" l="1"/>
  <c r="D94" i="2"/>
  <c r="D95" i="2"/>
  <c r="D96" i="2"/>
  <c r="D97" i="2"/>
  <c r="D98" i="2"/>
  <c r="D99" i="2"/>
  <c r="D100" i="2"/>
  <c r="D101" i="2"/>
  <c r="D92" i="2"/>
  <c r="C93" i="2"/>
  <c r="C94" i="2"/>
  <c r="C95" i="2"/>
  <c r="C96" i="2"/>
  <c r="C97" i="2"/>
  <c r="C98" i="2"/>
  <c r="C99" i="2"/>
  <c r="C100" i="2"/>
  <c r="C101" i="2"/>
  <c r="C92" i="2"/>
  <c r="I85" i="2"/>
  <c r="I86" i="2"/>
  <c r="I87" i="2"/>
  <c r="I88" i="2"/>
  <c r="I89" i="2"/>
  <c r="I84" i="2"/>
  <c r="C84" i="2"/>
  <c r="D85" i="2"/>
  <c r="E86" i="2"/>
  <c r="F87" i="2"/>
  <c r="G88" i="2"/>
  <c r="H89" i="2"/>
  <c r="L51" i="2"/>
  <c r="L39" i="2" s="1"/>
  <c r="L50" i="2"/>
  <c r="L49" i="2"/>
  <c r="L48" i="2"/>
  <c r="L47" i="2"/>
  <c r="L35" i="2" s="1"/>
  <c r="L46" i="2"/>
  <c r="L45" i="2"/>
  <c r="L44" i="2"/>
  <c r="L43" i="2"/>
  <c r="L42" i="2"/>
  <c r="L52" i="2" s="1"/>
  <c r="K51" i="2"/>
  <c r="K50" i="2"/>
  <c r="K38" i="2" s="1"/>
  <c r="K49" i="2"/>
  <c r="K48" i="2"/>
  <c r="K47" i="2"/>
  <c r="K35" i="2" s="1"/>
  <c r="K46" i="2"/>
  <c r="K45" i="2"/>
  <c r="K44" i="2"/>
  <c r="K43" i="2"/>
  <c r="K31" i="2" s="1"/>
  <c r="K42" i="2"/>
  <c r="J51" i="2"/>
  <c r="J50" i="2"/>
  <c r="J49" i="2"/>
  <c r="J37" i="2" s="1"/>
  <c r="J48" i="2"/>
  <c r="J47" i="2"/>
  <c r="J35" i="2" s="1"/>
  <c r="J46" i="2"/>
  <c r="J45" i="2"/>
  <c r="J44" i="2"/>
  <c r="J43" i="2"/>
  <c r="J42" i="2"/>
  <c r="J30" i="2" s="1"/>
  <c r="I51" i="2"/>
  <c r="I50" i="2"/>
  <c r="I49" i="2"/>
  <c r="I48" i="2"/>
  <c r="I36" i="2" s="1"/>
  <c r="I47" i="2"/>
  <c r="I46" i="2"/>
  <c r="I45" i="2"/>
  <c r="I44" i="2"/>
  <c r="I43" i="2"/>
  <c r="I42" i="2"/>
  <c r="H51" i="2"/>
  <c r="H39" i="2" s="1"/>
  <c r="H50" i="2"/>
  <c r="H38" i="2" s="1"/>
  <c r="H49" i="2"/>
  <c r="H37" i="2" s="1"/>
  <c r="H48" i="2"/>
  <c r="H47" i="2"/>
  <c r="H35" i="2" s="1"/>
  <c r="H46" i="2"/>
  <c r="H34" i="2" s="1"/>
  <c r="H45" i="2"/>
  <c r="H33" i="2" s="1"/>
  <c r="H44" i="2"/>
  <c r="H43" i="2"/>
  <c r="H31" i="2" s="1"/>
  <c r="H42" i="2"/>
  <c r="H30" i="2" s="1"/>
  <c r="G51" i="2"/>
  <c r="G50" i="2"/>
  <c r="G49" i="2"/>
  <c r="G48" i="2"/>
  <c r="G47" i="2"/>
  <c r="G35" i="2" s="1"/>
  <c r="G46" i="2"/>
  <c r="G34" i="2" s="1"/>
  <c r="G45" i="2"/>
  <c r="G44" i="2"/>
  <c r="G43" i="2"/>
  <c r="G42" i="2"/>
  <c r="F51" i="2"/>
  <c r="F50" i="2"/>
  <c r="F49" i="2"/>
  <c r="F48" i="2"/>
  <c r="F47" i="2"/>
  <c r="F35" i="2" s="1"/>
  <c r="F46" i="2"/>
  <c r="F45" i="2"/>
  <c r="F33" i="2" s="1"/>
  <c r="F44" i="2"/>
  <c r="F43" i="2"/>
  <c r="F31" i="2" s="1"/>
  <c r="F42" i="2"/>
  <c r="E51" i="2"/>
  <c r="E50" i="2"/>
  <c r="E49" i="2"/>
  <c r="E48" i="2"/>
  <c r="E47" i="2"/>
  <c r="E46" i="2"/>
  <c r="E45" i="2"/>
  <c r="E44" i="2"/>
  <c r="E32" i="2" s="1"/>
  <c r="E43" i="2"/>
  <c r="E42" i="2"/>
  <c r="D42" i="2"/>
  <c r="D43" i="2"/>
  <c r="D31" i="2" s="1"/>
  <c r="D44" i="2"/>
  <c r="D45" i="2"/>
  <c r="D33" i="2" s="1"/>
  <c r="D46" i="2"/>
  <c r="D47" i="2"/>
  <c r="D35" i="2" s="1"/>
  <c r="D48" i="2"/>
  <c r="D49" i="2"/>
  <c r="D50" i="2"/>
  <c r="D38" i="2" s="1"/>
  <c r="D51" i="2"/>
  <c r="C42" i="2"/>
  <c r="F815" i="1"/>
  <c r="F810" i="1"/>
  <c r="F820" i="1"/>
  <c r="F794" i="1"/>
  <c r="F936" i="1"/>
  <c r="F1082" i="1"/>
  <c r="F1077" i="1"/>
  <c r="F1048" i="1"/>
  <c r="F1042" i="1"/>
  <c r="F959" i="1"/>
  <c r="F1037" i="1"/>
  <c r="F1032" i="1"/>
  <c r="F1014" i="1"/>
  <c r="F877" i="1"/>
  <c r="F1009" i="1"/>
  <c r="F1004" i="1"/>
  <c r="F998" i="1"/>
  <c r="F970" i="1"/>
  <c r="F901" i="1"/>
  <c r="F806" i="1"/>
  <c r="F864" i="1"/>
  <c r="F858" i="1"/>
  <c r="F853" i="1"/>
  <c r="F924" i="1"/>
  <c r="F964" i="1"/>
  <c r="F1072" i="1"/>
  <c r="F513" i="1"/>
  <c r="F502" i="1"/>
  <c r="F1027" i="1"/>
  <c r="F483" i="1"/>
  <c r="F824" i="1"/>
  <c r="F507" i="1"/>
  <c r="F497" i="1"/>
  <c r="F661" i="1"/>
  <c r="F636" i="1"/>
  <c r="F789" i="1"/>
  <c r="F784" i="1"/>
  <c r="F753" i="1"/>
  <c r="F993" i="1"/>
  <c r="F623" i="1"/>
  <c r="F740" i="1"/>
  <c r="F735" i="1"/>
  <c r="F717" i="1"/>
  <c r="F708" i="1"/>
  <c r="F702" i="1"/>
  <c r="F672" i="1"/>
  <c r="F573" i="1"/>
  <c r="F746" i="1"/>
  <c r="F561" i="1"/>
  <c r="F554" i="1"/>
  <c r="F549" i="1"/>
  <c r="F847" i="1"/>
  <c r="F149" i="1"/>
  <c r="F80" i="1"/>
  <c r="F778" i="1"/>
  <c r="F124" i="1"/>
  <c r="F518" i="1"/>
  <c r="F40" i="1"/>
  <c r="F730" i="1"/>
  <c r="F300" i="1"/>
  <c r="F101" i="1"/>
  <c r="F329" i="1"/>
  <c r="F226" i="1"/>
  <c r="F477" i="1"/>
  <c r="F471" i="1"/>
  <c r="F435" i="1"/>
  <c r="F666" i="1"/>
  <c r="F385" i="1"/>
  <c r="F418" i="1"/>
  <c r="F412" i="1"/>
  <c r="F391" i="1"/>
  <c r="F407" i="1"/>
  <c r="F464" i="1"/>
  <c r="F426" i="1"/>
  <c r="F379" i="1"/>
  <c r="F373" i="1"/>
  <c r="F341" i="1"/>
  <c r="F256" i="1"/>
  <c r="F200" i="1"/>
  <c r="F192" i="1"/>
  <c r="F187" i="1"/>
  <c r="F284" i="1"/>
  <c r="F697" i="1"/>
  <c r="F335" i="1"/>
  <c r="F543" i="1"/>
  <c r="F368" i="1"/>
  <c r="F155" i="1"/>
  <c r="F816" i="1"/>
  <c r="F811" i="1"/>
  <c r="F937" i="1"/>
  <c r="F1083" i="1"/>
  <c r="F1078" i="1"/>
  <c r="F1049" i="1"/>
  <c r="F1043" i="1"/>
  <c r="F902" i="1"/>
  <c r="F1038" i="1"/>
  <c r="F1033" i="1"/>
  <c r="F1015" i="1"/>
  <c r="F925" i="1"/>
  <c r="F878" i="1"/>
  <c r="F1005" i="1"/>
  <c r="F999" i="1"/>
  <c r="F971" i="1"/>
  <c r="F960" i="1"/>
  <c r="F1010" i="1"/>
  <c r="F865" i="1"/>
  <c r="F859" i="1"/>
  <c r="F854" i="1"/>
  <c r="F807" i="1"/>
  <c r="F1073" i="1"/>
  <c r="F965" i="1"/>
  <c r="F825" i="1"/>
  <c r="F514" i="1"/>
  <c r="F484" i="1"/>
  <c r="F508" i="1"/>
  <c r="F1028" i="1"/>
  <c r="F503" i="1"/>
  <c r="F498" i="1"/>
  <c r="F662" i="1"/>
  <c r="F994" i="1"/>
  <c r="F790" i="1"/>
  <c r="F785" i="1"/>
  <c r="F754" i="1"/>
  <c r="F637" i="1"/>
  <c r="F747" i="1"/>
  <c r="F741" i="1"/>
  <c r="F736" i="1"/>
  <c r="F718" i="1"/>
  <c r="F848" i="1"/>
  <c r="F624" i="1"/>
  <c r="F574" i="1"/>
  <c r="F709" i="1"/>
  <c r="F703" i="1"/>
  <c r="F673" i="1"/>
  <c r="F713" i="1"/>
  <c r="F562" i="1"/>
  <c r="F555" i="1"/>
  <c r="F550" i="1"/>
  <c r="F779" i="1"/>
  <c r="F599" i="1"/>
  <c r="F150" i="1"/>
  <c r="F731" i="1"/>
  <c r="F81" i="1"/>
  <c r="F125" i="1"/>
  <c r="F102" i="1"/>
  <c r="F227" i="1"/>
  <c r="F41" i="1"/>
  <c r="F330" i="1"/>
  <c r="F301" i="1"/>
  <c r="F285" i="1"/>
  <c r="F478" i="1"/>
  <c r="F472" i="1"/>
  <c r="F436" i="1"/>
  <c r="F257" i="1"/>
  <c r="F427" i="1"/>
  <c r="F419" i="1"/>
  <c r="F413" i="1"/>
  <c r="F392" i="1"/>
  <c r="F386" i="1"/>
  <c r="F465" i="1"/>
  <c r="F380" i="1"/>
  <c r="F374" i="1"/>
  <c r="F342" i="1"/>
  <c r="F336" i="1"/>
  <c r="F667" i="1"/>
  <c r="F201" i="1"/>
  <c r="F193" i="1"/>
  <c r="F188" i="1"/>
  <c r="F544" i="1"/>
  <c r="F369" i="1"/>
  <c r="F156" i="1"/>
  <c r="F519" i="1"/>
  <c r="F698" i="1"/>
  <c r="F182" i="1"/>
  <c r="F408" i="1"/>
  <c r="F812" i="1"/>
  <c r="F821" i="1"/>
  <c r="F817" i="1"/>
  <c r="F795" i="1"/>
  <c r="F1044" i="1"/>
  <c r="F1079" i="1"/>
  <c r="F1050" i="1"/>
  <c r="F1084" i="1"/>
  <c r="F1039" i="1"/>
  <c r="F1034" i="1"/>
  <c r="F1016" i="1"/>
  <c r="F1006" i="1"/>
  <c r="F1000" i="1"/>
  <c r="F972" i="1"/>
  <c r="F961" i="1"/>
  <c r="F966" i="1"/>
  <c r="F866" i="1"/>
  <c r="F860" i="1"/>
  <c r="F855" i="1"/>
  <c r="F1011" i="1"/>
  <c r="F826" i="1"/>
  <c r="F879" i="1"/>
  <c r="F515" i="1"/>
  <c r="F504" i="1"/>
  <c r="F509" i="1"/>
  <c r="F485" i="1"/>
  <c r="F499" i="1"/>
  <c r="F938" i="1"/>
  <c r="F1029" i="1"/>
  <c r="F995" i="1"/>
  <c r="F748" i="1"/>
  <c r="F791" i="1"/>
  <c r="F786" i="1"/>
  <c r="F755" i="1"/>
  <c r="F663" i="1"/>
  <c r="F849" i="1"/>
  <c r="F742" i="1"/>
  <c r="F737" i="1"/>
  <c r="F719" i="1"/>
  <c r="F638" i="1"/>
  <c r="F600" i="1"/>
  <c r="F710" i="1"/>
  <c r="F704" i="1"/>
  <c r="F674" i="1"/>
  <c r="F780" i="1"/>
  <c r="F625" i="1"/>
  <c r="F563" i="1"/>
  <c r="F556" i="1"/>
  <c r="F551" i="1"/>
  <c r="F575" i="1"/>
  <c r="F82" i="1"/>
  <c r="F151" i="1"/>
  <c r="F714" i="1"/>
  <c r="F668" i="1"/>
  <c r="F42" i="1"/>
  <c r="F126" i="1"/>
  <c r="F732" i="1"/>
  <c r="F331" i="1"/>
  <c r="F302" i="1"/>
  <c r="F228" i="1"/>
  <c r="F103" i="1"/>
  <c r="F479" i="1"/>
  <c r="F473" i="1"/>
  <c r="F437" i="1"/>
  <c r="F520" i="1"/>
  <c r="F286" i="1"/>
  <c r="F420" i="1"/>
  <c r="F414" i="1"/>
  <c r="F393" i="1"/>
  <c r="F428" i="1"/>
  <c r="F387" i="1"/>
  <c r="F381" i="1"/>
  <c r="F375" i="1"/>
  <c r="F343" i="1"/>
  <c r="F466" i="1"/>
  <c r="F337" i="1"/>
  <c r="F202" i="1"/>
  <c r="F194" i="1"/>
  <c r="F189" i="1"/>
  <c r="F370" i="1"/>
  <c r="F258" i="1"/>
  <c r="F409" i="1"/>
  <c r="F157" i="1"/>
  <c r="F183" i="1"/>
  <c r="F699" i="1"/>
  <c r="F545" i="1"/>
  <c r="F818" i="1"/>
  <c r="F822" i="1"/>
  <c r="F813" i="1"/>
  <c r="F796" i="1"/>
  <c r="F1045" i="1"/>
  <c r="F1085" i="1"/>
  <c r="F1080" i="1"/>
  <c r="F1051" i="1"/>
  <c r="F939" i="1"/>
  <c r="F962" i="1"/>
  <c r="F1040" i="1"/>
  <c r="F1035" i="1"/>
  <c r="F1017" i="1"/>
  <c r="F1012" i="1"/>
  <c r="F808" i="1"/>
  <c r="F1007" i="1"/>
  <c r="F1001" i="1"/>
  <c r="F973" i="1"/>
  <c r="F880" i="1"/>
  <c r="F1074" i="1"/>
  <c r="F867" i="1"/>
  <c r="F861" i="1"/>
  <c r="F856" i="1"/>
  <c r="F926" i="1"/>
  <c r="F516" i="1"/>
  <c r="F967" i="1"/>
  <c r="F903" i="1"/>
  <c r="F827" i="1"/>
  <c r="F486" i="1"/>
  <c r="F510" i="1"/>
  <c r="F500" i="1"/>
  <c r="F1030" i="1"/>
  <c r="F505" i="1"/>
  <c r="F850" i="1"/>
  <c r="F996" i="1"/>
  <c r="F792" i="1"/>
  <c r="F787" i="1"/>
  <c r="F756" i="1"/>
  <c r="F664" i="1"/>
  <c r="F639" i="1"/>
  <c r="F743" i="1"/>
  <c r="F738" i="1"/>
  <c r="F720" i="1"/>
  <c r="F749" i="1"/>
  <c r="F626" i="1"/>
  <c r="F711" i="1"/>
  <c r="F705" i="1"/>
  <c r="F675" i="1"/>
  <c r="F576" i="1"/>
  <c r="F601" i="1"/>
  <c r="F564" i="1"/>
  <c r="F557" i="1"/>
  <c r="F552" i="1"/>
  <c r="F669" i="1"/>
  <c r="F781" i="1"/>
  <c r="F83" i="1"/>
  <c r="F152" i="1"/>
  <c r="F127" i="1"/>
  <c r="F715" i="1"/>
  <c r="F43" i="1"/>
  <c r="F733" i="1"/>
  <c r="F303" i="1"/>
  <c r="F332" i="1"/>
  <c r="F104" i="1"/>
  <c r="F229" i="1"/>
  <c r="F480" i="1"/>
  <c r="F474" i="1"/>
  <c r="F521" i="1"/>
  <c r="F438" i="1"/>
  <c r="F287" i="1"/>
  <c r="F421" i="1"/>
  <c r="F415" i="1"/>
  <c r="F394" i="1"/>
  <c r="F700" i="1"/>
  <c r="F429" i="1"/>
  <c r="F382" i="1"/>
  <c r="F388" i="1"/>
  <c r="F259" i="1"/>
  <c r="F546" i="1"/>
  <c r="F376" i="1"/>
  <c r="F203" i="1"/>
  <c r="F195" i="1"/>
  <c r="F344" i="1"/>
  <c r="F467" i="1"/>
  <c r="F190" i="1"/>
  <c r="F158" i="1"/>
  <c r="F338" i="1"/>
  <c r="F371" i="1"/>
  <c r="F184" i="1"/>
  <c r="G56" i="2"/>
  <c r="H56" i="2"/>
  <c r="G57" i="2"/>
  <c r="H57" i="2"/>
  <c r="G58" i="2"/>
  <c r="H58" i="2"/>
  <c r="G59" i="2"/>
  <c r="H59" i="2"/>
  <c r="G60" i="2"/>
  <c r="H60" i="2"/>
  <c r="G61" i="2"/>
  <c r="H61" i="2"/>
  <c r="G62" i="2"/>
  <c r="H62" i="2"/>
  <c r="G63" i="2"/>
  <c r="H63" i="2"/>
  <c r="G64" i="2"/>
  <c r="H64" i="2"/>
  <c r="H55" i="2"/>
  <c r="G55" i="2"/>
  <c r="E56" i="2"/>
  <c r="F56" i="2"/>
  <c r="E57" i="2"/>
  <c r="F57" i="2"/>
  <c r="E58" i="2"/>
  <c r="F58" i="2"/>
  <c r="E59" i="2"/>
  <c r="F59" i="2"/>
  <c r="E60" i="2"/>
  <c r="F60" i="2"/>
  <c r="E61" i="2"/>
  <c r="F61" i="2"/>
  <c r="E62" i="2"/>
  <c r="F62" i="2"/>
  <c r="E63" i="2"/>
  <c r="F63" i="2"/>
  <c r="E64" i="2"/>
  <c r="F64" i="2"/>
  <c r="F55" i="2"/>
  <c r="E55" i="2"/>
  <c r="C56" i="2"/>
  <c r="D56" i="2"/>
  <c r="C57" i="2"/>
  <c r="D57" i="2"/>
  <c r="C58" i="2"/>
  <c r="D58" i="2"/>
  <c r="C59" i="2"/>
  <c r="D59" i="2"/>
  <c r="C60" i="2"/>
  <c r="D60" i="2"/>
  <c r="C61" i="2"/>
  <c r="D61" i="2"/>
  <c r="C62" i="2"/>
  <c r="D62" i="2"/>
  <c r="C63" i="2"/>
  <c r="D63" i="2"/>
  <c r="C64" i="2"/>
  <c r="D64" i="2"/>
  <c r="D55" i="2"/>
  <c r="C55" i="2"/>
  <c r="C43" i="2"/>
  <c r="C31" i="2" s="1"/>
  <c r="C44" i="2"/>
  <c r="C45" i="2"/>
  <c r="C33" i="2" s="1"/>
  <c r="C46" i="2"/>
  <c r="C47" i="2"/>
  <c r="C35" i="2" s="1"/>
  <c r="C48" i="2"/>
  <c r="C49" i="2"/>
  <c r="C37" i="2" s="1"/>
  <c r="C50" i="2"/>
  <c r="C51" i="2"/>
  <c r="L26" i="2"/>
  <c r="L25" i="2"/>
  <c r="L24" i="2"/>
  <c r="L23" i="2"/>
  <c r="L22" i="2"/>
  <c r="L21" i="2"/>
  <c r="L20" i="2"/>
  <c r="L19" i="2"/>
  <c r="L18" i="2"/>
  <c r="L17" i="2"/>
  <c r="K26" i="2"/>
  <c r="K25" i="2"/>
  <c r="K24" i="2"/>
  <c r="K23" i="2"/>
  <c r="K22" i="2"/>
  <c r="K21" i="2"/>
  <c r="K20" i="2"/>
  <c r="K19" i="2"/>
  <c r="K18" i="2"/>
  <c r="K17" i="2"/>
  <c r="J26" i="2"/>
  <c r="J25" i="2"/>
  <c r="J24" i="2"/>
  <c r="J23" i="2"/>
  <c r="J22" i="2"/>
  <c r="J21" i="2"/>
  <c r="J20" i="2"/>
  <c r="J19" i="2"/>
  <c r="J18" i="2"/>
  <c r="J17" i="2"/>
  <c r="I26" i="2"/>
  <c r="I25" i="2"/>
  <c r="I24" i="2"/>
  <c r="I23" i="2"/>
  <c r="I22" i="2"/>
  <c r="I21" i="2"/>
  <c r="I20" i="2"/>
  <c r="I19" i="2"/>
  <c r="I18" i="2"/>
  <c r="I17" i="2"/>
  <c r="H26" i="2"/>
  <c r="H25" i="2"/>
  <c r="H24" i="2"/>
  <c r="H23" i="2"/>
  <c r="H22" i="2"/>
  <c r="H21" i="2"/>
  <c r="H20" i="2"/>
  <c r="H19" i="2"/>
  <c r="H18" i="2"/>
  <c r="H17" i="2"/>
  <c r="G26" i="2"/>
  <c r="G25" i="2"/>
  <c r="G24" i="2"/>
  <c r="G23" i="2"/>
  <c r="G22" i="2"/>
  <c r="G21" i="2"/>
  <c r="G20" i="2"/>
  <c r="G19" i="2"/>
  <c r="G18" i="2"/>
  <c r="G17" i="2"/>
  <c r="F26" i="2"/>
  <c r="F25" i="2"/>
  <c r="F24" i="2"/>
  <c r="F23" i="2"/>
  <c r="F22" i="2"/>
  <c r="F21" i="2"/>
  <c r="F20" i="2"/>
  <c r="F19" i="2"/>
  <c r="F18" i="2"/>
  <c r="F17" i="2"/>
  <c r="E26" i="2"/>
  <c r="E25" i="2"/>
  <c r="E24" i="2"/>
  <c r="E23" i="2"/>
  <c r="E22" i="2"/>
  <c r="E21" i="2"/>
  <c r="E20" i="2"/>
  <c r="E19" i="2"/>
  <c r="E18" i="2"/>
  <c r="E17" i="2"/>
  <c r="D26" i="2"/>
  <c r="D25" i="2"/>
  <c r="D24" i="2"/>
  <c r="D23" i="2"/>
  <c r="D22" i="2"/>
  <c r="D21" i="2"/>
  <c r="D20" i="2"/>
  <c r="D19" i="2"/>
  <c r="D18" i="2"/>
  <c r="D17" i="2"/>
  <c r="C18" i="2"/>
  <c r="C19" i="2"/>
  <c r="C20" i="2"/>
  <c r="C21" i="2"/>
  <c r="C22" i="2"/>
  <c r="C23" i="2"/>
  <c r="C24" i="2"/>
  <c r="C25" i="2"/>
  <c r="C26" i="2"/>
  <c r="C17" i="2"/>
  <c r="L13" i="2"/>
  <c r="L12" i="2"/>
  <c r="L11" i="2"/>
  <c r="L10" i="2"/>
  <c r="L9" i="2"/>
  <c r="L8" i="2"/>
  <c r="L7" i="2"/>
  <c r="L6" i="2"/>
  <c r="L5" i="2"/>
  <c r="L4" i="2"/>
  <c r="K13" i="2"/>
  <c r="K12" i="2"/>
  <c r="K11" i="2"/>
  <c r="K10" i="2"/>
  <c r="K9" i="2"/>
  <c r="K8" i="2"/>
  <c r="K7" i="2"/>
  <c r="K6" i="2"/>
  <c r="K5" i="2"/>
  <c r="K4" i="2"/>
  <c r="J13" i="2"/>
  <c r="J12" i="2"/>
  <c r="J11" i="2"/>
  <c r="J10" i="2"/>
  <c r="J9" i="2"/>
  <c r="J8" i="2"/>
  <c r="J7" i="2"/>
  <c r="J6" i="2"/>
  <c r="J5" i="2"/>
  <c r="J4" i="2"/>
  <c r="I13" i="2"/>
  <c r="I12" i="2"/>
  <c r="I11" i="2"/>
  <c r="I10" i="2"/>
  <c r="I9" i="2"/>
  <c r="I8" i="2"/>
  <c r="I7" i="2"/>
  <c r="I6" i="2"/>
  <c r="I5" i="2"/>
  <c r="I4" i="2"/>
  <c r="H13" i="2"/>
  <c r="H12" i="2"/>
  <c r="H11" i="2"/>
  <c r="H10" i="2"/>
  <c r="H9" i="2"/>
  <c r="H8" i="2"/>
  <c r="H7" i="2"/>
  <c r="H6" i="2"/>
  <c r="H5" i="2"/>
  <c r="H4" i="2"/>
  <c r="G13" i="2"/>
  <c r="G12" i="2"/>
  <c r="G11" i="2"/>
  <c r="G10" i="2"/>
  <c r="G9" i="2"/>
  <c r="G8" i="2"/>
  <c r="G7" i="2"/>
  <c r="G6" i="2"/>
  <c r="G5" i="2"/>
  <c r="G4" i="2"/>
  <c r="F13" i="2"/>
  <c r="F12" i="2"/>
  <c r="F11" i="2"/>
  <c r="F10" i="2"/>
  <c r="F9" i="2"/>
  <c r="F8" i="2"/>
  <c r="F7" i="2"/>
  <c r="F6" i="2"/>
  <c r="F5" i="2"/>
  <c r="F4" i="2"/>
  <c r="E13" i="2"/>
  <c r="E12" i="2"/>
  <c r="E11" i="2"/>
  <c r="E10" i="2"/>
  <c r="E9" i="2"/>
  <c r="E8" i="2"/>
  <c r="E7" i="2"/>
  <c r="E6" i="2"/>
  <c r="E5" i="2"/>
  <c r="E4" i="2"/>
  <c r="D13" i="2"/>
  <c r="D12" i="2"/>
  <c r="D11" i="2"/>
  <c r="D10" i="2"/>
  <c r="D9" i="2"/>
  <c r="D8" i="2"/>
  <c r="D7" i="2"/>
  <c r="D6" i="2"/>
  <c r="D5" i="2"/>
  <c r="D4" i="2"/>
  <c r="C5" i="2"/>
  <c r="C6" i="2"/>
  <c r="C7" i="2"/>
  <c r="C8" i="2"/>
  <c r="C9" i="2"/>
  <c r="C10" i="2"/>
  <c r="C11" i="2"/>
  <c r="C12" i="2"/>
  <c r="C13" i="2"/>
  <c r="C4" i="2"/>
  <c r="F84" i="1"/>
  <c r="F105" i="1"/>
  <c r="F51" i="1"/>
  <c r="F129" i="1"/>
  <c r="F85" i="1"/>
  <c r="F52" i="1"/>
  <c r="F20" i="1"/>
  <c r="F106" i="1"/>
  <c r="F107" i="1"/>
  <c r="F130" i="1"/>
  <c r="F53" i="1"/>
  <c r="F21" i="1"/>
  <c r="F86" i="1"/>
  <c r="F108" i="1"/>
  <c r="F131" i="1"/>
  <c r="F54" i="1"/>
  <c r="F87" i="1"/>
  <c r="F22" i="1"/>
  <c r="F132" i="1"/>
  <c r="F109" i="1"/>
  <c r="F23" i="1"/>
  <c r="F88" i="1"/>
  <c r="F110" i="1"/>
  <c r="F133" i="1"/>
  <c r="F55" i="1"/>
  <c r="F24" i="1"/>
  <c r="F134" i="1"/>
  <c r="F111" i="1"/>
  <c r="F25" i="1"/>
  <c r="F89" i="1"/>
  <c r="F135" i="1"/>
  <c r="F112" i="1"/>
  <c r="F26" i="1"/>
  <c r="F56" i="1"/>
  <c r="F90" i="1"/>
  <c r="F16" i="1"/>
  <c r="F10" i="1"/>
  <c r="F7" i="1"/>
  <c r="F113" i="1"/>
  <c r="F136" i="1"/>
  <c r="F91" i="1"/>
  <c r="F27" i="1"/>
  <c r="F57" i="1"/>
  <c r="F114" i="1"/>
  <c r="F137" i="1"/>
  <c r="F92" i="1"/>
  <c r="F28" i="1"/>
  <c r="F58" i="1"/>
  <c r="F59" i="1"/>
  <c r="F60" i="1"/>
  <c r="F47" i="1"/>
  <c r="F17" i="1"/>
  <c r="F138" i="1"/>
  <c r="F115" i="1"/>
  <c r="F93" i="1"/>
  <c r="F29" i="1"/>
  <c r="F44" i="1"/>
  <c r="F8" i="1"/>
  <c r="F11" i="1"/>
  <c r="F116" i="1"/>
  <c r="F139" i="1"/>
  <c r="F61" i="1"/>
  <c r="F30" i="1"/>
  <c r="F48" i="1"/>
  <c r="F18" i="1"/>
  <c r="F13" i="1"/>
  <c r="F140" i="1"/>
  <c r="F117" i="1"/>
  <c r="F31" i="1"/>
  <c r="F62" i="1"/>
  <c r="F94" i="1"/>
  <c r="F32" i="1"/>
  <c r="F430" i="1"/>
  <c r="F422" i="1"/>
  <c r="F141" i="1"/>
  <c r="F196" i="1"/>
  <c r="F63" i="1"/>
  <c r="F439" i="1"/>
  <c r="F153" i="1"/>
  <c r="F230" i="1"/>
  <c r="F159" i="1"/>
  <c r="F213" i="1"/>
  <c r="F511" i="1"/>
  <c r="F750" i="1"/>
  <c r="F744" i="1"/>
  <c r="F481" i="1"/>
  <c r="F558" i="1"/>
  <c r="F640" i="1"/>
  <c r="F577" i="1"/>
  <c r="F757" i="1"/>
  <c r="F487" i="1"/>
  <c r="F142" i="1"/>
  <c r="F431" i="1"/>
  <c r="F33" i="1"/>
  <c r="F304" i="1"/>
  <c r="F197" i="1"/>
  <c r="F231" i="1"/>
  <c r="F440" i="1"/>
  <c r="F423" i="1"/>
  <c r="F64" i="1"/>
  <c r="F432" i="1"/>
  <c r="F468" i="1"/>
  <c r="F377" i="1"/>
  <c r="F198" i="1"/>
  <c r="F339" i="1"/>
  <c r="F185" i="1"/>
  <c r="F441" i="1"/>
  <c r="F305" i="1"/>
  <c r="F782" i="1"/>
  <c r="F751" i="1"/>
  <c r="F160" i="1"/>
  <c r="F706" i="1"/>
  <c r="F232" i="1"/>
  <c r="F670" i="1"/>
  <c r="F559" i="1"/>
  <c r="F547" i="1"/>
  <c r="F345" i="1"/>
  <c r="F641" i="1"/>
  <c r="F578" i="1"/>
  <c r="F758" i="1"/>
  <c r="F1075" i="1"/>
  <c r="F1046" i="1"/>
  <c r="F676" i="1"/>
  <c r="F1002" i="1"/>
  <c r="F968" i="1"/>
  <c r="F602" i="1"/>
  <c r="F862" i="1"/>
  <c r="F851" i="1"/>
  <c r="F522" i="1"/>
  <c r="F306" i="1"/>
  <c r="F262" i="1"/>
  <c r="F233" i="1"/>
  <c r="F442" i="1"/>
  <c r="F346" i="1"/>
  <c r="F161" i="1"/>
  <c r="F940" i="1"/>
  <c r="F642" i="1"/>
  <c r="F904" i="1"/>
  <c r="F1052" i="1"/>
  <c r="F603" i="1"/>
  <c r="F828" i="1"/>
  <c r="F579" i="1"/>
  <c r="F974" i="1"/>
  <c r="F677" i="1"/>
  <c r="F523" i="1"/>
  <c r="F307" i="1"/>
  <c r="F881" i="1"/>
  <c r="F263" i="1"/>
  <c r="F443" i="1"/>
  <c r="F234" i="1"/>
  <c r="F347" i="1"/>
  <c r="F162" i="1"/>
  <c r="F643" i="1"/>
  <c r="F1053" i="1"/>
  <c r="F882" i="1"/>
  <c r="F580" i="1"/>
  <c r="F905" i="1"/>
  <c r="F604" i="1"/>
  <c r="F975" i="1"/>
  <c r="F759" i="1"/>
  <c r="F829" i="1"/>
  <c r="F678" i="1"/>
  <c r="F524" i="1"/>
  <c r="F308" i="1"/>
  <c r="F264" i="1"/>
  <c r="F235" i="1"/>
  <c r="F444" i="1"/>
  <c r="F348" i="1"/>
  <c r="F163" i="1"/>
  <c r="F941" i="1"/>
  <c r="F883" i="1"/>
  <c r="F1054" i="1"/>
  <c r="F644" i="1"/>
  <c r="F605" i="1"/>
  <c r="F906" i="1"/>
  <c r="F830" i="1"/>
  <c r="F976" i="1"/>
  <c r="F760" i="1"/>
  <c r="F679" i="1"/>
  <c r="F581" i="1"/>
  <c r="F525" i="1"/>
  <c r="F309" i="1"/>
  <c r="F265" i="1"/>
  <c r="F236" i="1"/>
  <c r="F445" i="1"/>
  <c r="F349" i="1"/>
  <c r="F164" i="1"/>
  <c r="F942" i="1"/>
  <c r="F907" i="1"/>
  <c r="F884" i="1"/>
  <c r="F606" i="1"/>
  <c r="F1055" i="1"/>
  <c r="F582" i="1"/>
  <c r="F977" i="1"/>
  <c r="F761" i="1"/>
  <c r="F831" i="1"/>
  <c r="F680" i="1"/>
  <c r="F526" i="1"/>
  <c r="F310" i="1"/>
  <c r="F266" i="1"/>
  <c r="F446" i="1"/>
  <c r="F237" i="1"/>
  <c r="F350" i="1"/>
  <c r="F165" i="1"/>
  <c r="F1056" i="1"/>
  <c r="F885" i="1"/>
  <c r="F607" i="1"/>
  <c r="F645" i="1"/>
  <c r="F832" i="1"/>
  <c r="F943" i="1"/>
  <c r="F908" i="1"/>
  <c r="F978" i="1"/>
  <c r="F681" i="1"/>
  <c r="F583" i="1"/>
  <c r="F762" i="1"/>
  <c r="F527" i="1"/>
  <c r="F311" i="1"/>
  <c r="F267" i="1"/>
  <c r="F238" i="1"/>
  <c r="F447" i="1"/>
  <c r="F351" i="1"/>
  <c r="F166" i="1"/>
  <c r="F944" i="1"/>
  <c r="F909" i="1"/>
  <c r="F646" i="1"/>
  <c r="F608" i="1"/>
  <c r="F886" i="1"/>
  <c r="F1057" i="1"/>
  <c r="F833" i="1"/>
  <c r="F763" i="1"/>
  <c r="F584" i="1"/>
  <c r="F682" i="1"/>
  <c r="F979" i="1"/>
  <c r="F528" i="1"/>
  <c r="F312" i="1"/>
  <c r="F268" i="1"/>
  <c r="F239" i="1"/>
  <c r="F448" i="1"/>
  <c r="F352" i="1"/>
  <c r="F167" i="1"/>
  <c r="F945" i="1"/>
  <c r="F1058" i="1"/>
  <c r="F910" i="1"/>
  <c r="F647" i="1"/>
  <c r="F980" i="1"/>
  <c r="F609" i="1"/>
  <c r="F764" i="1"/>
  <c r="F834" i="1"/>
  <c r="F887" i="1"/>
  <c r="F585" i="1"/>
  <c r="F65" i="1"/>
  <c r="F143" i="1"/>
  <c r="F118" i="1"/>
  <c r="F95" i="1"/>
  <c r="F34" i="1"/>
  <c r="F144" i="1"/>
  <c r="F119" i="1"/>
  <c r="F96" i="1"/>
  <c r="F35" i="1"/>
  <c r="F66" i="1"/>
  <c r="F313" i="1"/>
  <c r="F214" i="1"/>
  <c r="F288" i="1"/>
  <c r="F424" i="1"/>
  <c r="F240" i="1"/>
  <c r="F475" i="1"/>
  <c r="F433" i="1"/>
  <c r="F469" i="1"/>
  <c r="F383" i="1"/>
  <c r="F416" i="1"/>
  <c r="F410" i="1"/>
  <c r="F389" i="1"/>
  <c r="F449" i="1"/>
  <c r="F396" i="1"/>
  <c r="F378" i="1"/>
  <c r="F372" i="1"/>
  <c r="F340" i="1"/>
  <c r="F333" i="1"/>
  <c r="F154" i="1"/>
  <c r="F199" i="1"/>
  <c r="F191" i="1"/>
  <c r="F186" i="1"/>
  <c r="F353" i="1"/>
  <c r="F168" i="1"/>
  <c r="F512" i="1"/>
  <c r="F506" i="1"/>
  <c r="F501" i="1"/>
  <c r="F482" i="1"/>
  <c r="F488" i="1"/>
  <c r="F648" i="1"/>
  <c r="F627" i="1"/>
  <c r="F565" i="1"/>
  <c r="F745" i="1"/>
  <c r="F610" i="1"/>
  <c r="F788" i="1"/>
  <c r="F783" i="1"/>
  <c r="F752" i="1"/>
  <c r="F586" i="1"/>
  <c r="F712" i="1"/>
  <c r="F739" i="1"/>
  <c r="F734" i="1"/>
  <c r="F716" i="1"/>
  <c r="F765" i="1"/>
  <c r="F665" i="1"/>
  <c r="F707" i="1"/>
  <c r="F701" i="1"/>
  <c r="F671" i="1"/>
  <c r="F721" i="1"/>
  <c r="F683" i="1"/>
  <c r="F560" i="1"/>
  <c r="F553" i="1"/>
  <c r="F548" i="1"/>
  <c r="F517" i="1"/>
  <c r="F529" i="1"/>
  <c r="F819" i="1"/>
  <c r="F814" i="1"/>
  <c r="F809" i="1"/>
  <c r="F793" i="1"/>
  <c r="F797" i="1"/>
  <c r="F868" i="1"/>
  <c r="F946" i="1"/>
  <c r="F927" i="1"/>
  <c r="F1041" i="1"/>
  <c r="F911" i="1"/>
  <c r="F1081" i="1"/>
  <c r="F1076" i="1"/>
  <c r="F1047" i="1"/>
  <c r="F888" i="1"/>
  <c r="F1008" i="1"/>
  <c r="F1036" i="1"/>
  <c r="F1031" i="1"/>
  <c r="F1013" i="1"/>
  <c r="F1059" i="1"/>
  <c r="F963" i="1"/>
  <c r="F1003" i="1"/>
  <c r="F997" i="1"/>
  <c r="F969" i="1"/>
  <c r="F1018" i="1"/>
  <c r="F823" i="1"/>
  <c r="F863" i="1"/>
  <c r="F857" i="1"/>
  <c r="F852" i="1"/>
  <c r="F67" i="1"/>
  <c r="F215" i="1"/>
  <c r="F981" i="1"/>
  <c r="F314" i="1"/>
  <c r="F289" i="1"/>
  <c r="F241" i="1"/>
  <c r="F450" i="1"/>
  <c r="F397" i="1"/>
  <c r="F354" i="1"/>
  <c r="F835" i="1"/>
  <c r="F169" i="1"/>
  <c r="F269" i="1"/>
  <c r="F489" i="1"/>
  <c r="F649" i="1"/>
  <c r="F566" i="1"/>
  <c r="F628" i="1"/>
  <c r="F611" i="1"/>
  <c r="F587" i="1"/>
  <c r="F766" i="1"/>
  <c r="F722" i="1"/>
  <c r="F684" i="1"/>
  <c r="F530" i="1"/>
  <c r="F798" i="1"/>
  <c r="F869" i="1"/>
  <c r="F947" i="1"/>
  <c r="F928" i="1"/>
  <c r="F889" i="1"/>
  <c r="F912" i="1"/>
  <c r="F1060" i="1"/>
  <c r="F982" i="1"/>
  <c r="F1019" i="1"/>
  <c r="F68" i="1"/>
  <c r="F216" i="1"/>
  <c r="F315" i="1"/>
  <c r="F290" i="1"/>
  <c r="F270" i="1"/>
  <c r="F242" i="1"/>
  <c r="F398" i="1"/>
  <c r="F451" i="1"/>
  <c r="F355" i="1"/>
  <c r="F170" i="1"/>
  <c r="F836" i="1"/>
  <c r="F490" i="1"/>
  <c r="F567" i="1"/>
  <c r="F650" i="1"/>
  <c r="F629" i="1"/>
  <c r="F612" i="1"/>
  <c r="F767" i="1"/>
  <c r="F588" i="1"/>
  <c r="F723" i="1"/>
  <c r="F685" i="1"/>
  <c r="F531" i="1"/>
  <c r="F799" i="1"/>
  <c r="F948" i="1"/>
  <c r="F870" i="1"/>
  <c r="F929" i="1"/>
  <c r="F890" i="1"/>
  <c r="F913" i="1"/>
  <c r="F1061" i="1"/>
  <c r="F1020" i="1"/>
  <c r="F69" i="1"/>
  <c r="F983" i="1"/>
  <c r="F217" i="1"/>
  <c r="F316" i="1"/>
  <c r="F291" i="1"/>
  <c r="F243" i="1"/>
  <c r="F452" i="1"/>
  <c r="F399" i="1"/>
  <c r="F271" i="1"/>
  <c r="F356" i="1"/>
  <c r="F171" i="1"/>
  <c r="F837" i="1"/>
  <c r="F651" i="1"/>
  <c r="F491" i="1"/>
  <c r="F568" i="1"/>
  <c r="F630" i="1"/>
  <c r="F613" i="1"/>
  <c r="F589" i="1"/>
  <c r="F768" i="1"/>
  <c r="F724" i="1"/>
  <c r="F686" i="1"/>
  <c r="F532" i="1"/>
  <c r="F800" i="1"/>
  <c r="F871" i="1"/>
  <c r="F949" i="1"/>
  <c r="F930" i="1"/>
  <c r="F914" i="1"/>
  <c r="F891" i="1"/>
  <c r="F1062" i="1"/>
  <c r="F1021" i="1"/>
  <c r="F70" i="1"/>
  <c r="F218" i="1"/>
  <c r="F984" i="1"/>
  <c r="F317" i="1"/>
  <c r="F292" i="1"/>
  <c r="F272" i="1"/>
  <c r="F244" i="1"/>
  <c r="F453" i="1"/>
  <c r="F400" i="1"/>
  <c r="F357" i="1"/>
  <c r="F172" i="1"/>
  <c r="F838" i="1"/>
  <c r="F492" i="1"/>
  <c r="F631" i="1"/>
  <c r="F652" i="1"/>
  <c r="F614" i="1"/>
  <c r="F590" i="1"/>
  <c r="F769" i="1"/>
  <c r="F725" i="1"/>
  <c r="F533" i="1"/>
  <c r="F687" i="1"/>
  <c r="F801" i="1"/>
  <c r="F950" i="1"/>
  <c r="F872" i="1"/>
  <c r="F931" i="1"/>
  <c r="F915" i="1"/>
  <c r="F892" i="1"/>
  <c r="F1063" i="1"/>
  <c r="F1022" i="1"/>
  <c r="F71" i="1"/>
  <c r="F985" i="1"/>
  <c r="F219" i="1"/>
  <c r="F293" i="1"/>
  <c r="F318" i="1"/>
  <c r="F273" i="1"/>
  <c r="F245" i="1"/>
  <c r="F454" i="1"/>
  <c r="F401" i="1"/>
  <c r="F358" i="1"/>
  <c r="F173" i="1"/>
  <c r="F839" i="1"/>
  <c r="F493" i="1"/>
  <c r="F569" i="1"/>
  <c r="F653" i="1"/>
  <c r="F632" i="1"/>
  <c r="F591" i="1"/>
  <c r="F615" i="1"/>
  <c r="F770" i="1"/>
  <c r="F726" i="1"/>
  <c r="F688" i="1"/>
  <c r="F534" i="1"/>
  <c r="F951" i="1"/>
  <c r="F802" i="1"/>
  <c r="F873" i="1"/>
  <c r="F932" i="1"/>
  <c r="F916" i="1"/>
  <c r="F893" i="1"/>
  <c r="F1023" i="1"/>
  <c r="F1064" i="1"/>
  <c r="F72" i="1"/>
  <c r="F220" i="1"/>
  <c r="F986" i="1"/>
  <c r="F319" i="1"/>
  <c r="F274" i="1"/>
  <c r="F294" i="1"/>
  <c r="F455" i="1"/>
  <c r="F246" i="1"/>
  <c r="F402" i="1"/>
  <c r="F359" i="1"/>
  <c r="F174" i="1"/>
  <c r="F840" i="1"/>
  <c r="F494" i="1"/>
  <c r="F654" i="1"/>
  <c r="F570" i="1"/>
  <c r="F616" i="1"/>
  <c r="F592" i="1"/>
  <c r="F771" i="1"/>
  <c r="F633" i="1"/>
  <c r="F727" i="1"/>
  <c r="F689" i="1"/>
  <c r="F535" i="1"/>
  <c r="F952" i="1"/>
  <c r="F803" i="1"/>
  <c r="F874" i="1"/>
  <c r="F933" i="1"/>
  <c r="F917" i="1"/>
  <c r="F894" i="1"/>
  <c r="F1065" i="1"/>
  <c r="F1024" i="1"/>
  <c r="F73" i="1"/>
  <c r="F221" i="1"/>
  <c r="F320" i="1"/>
  <c r="F295" i="1"/>
  <c r="F275" i="1"/>
  <c r="F247" i="1"/>
  <c r="F987" i="1"/>
  <c r="F456" i="1"/>
  <c r="F403" i="1"/>
  <c r="F360" i="1"/>
  <c r="F175" i="1"/>
  <c r="F841" i="1"/>
  <c r="F495" i="1"/>
  <c r="F655" i="1"/>
  <c r="F571" i="1"/>
  <c r="F617" i="1"/>
  <c r="F634" i="1"/>
  <c r="F593" i="1"/>
  <c r="F728" i="1"/>
  <c r="F772" i="1"/>
  <c r="F690" i="1"/>
  <c r="F536" i="1"/>
  <c r="F804" i="1"/>
  <c r="F953" i="1"/>
  <c r="F875" i="1"/>
  <c r="F934" i="1"/>
  <c r="F895" i="1"/>
  <c r="F918" i="1"/>
  <c r="F1066" i="1"/>
  <c r="F1025" i="1"/>
  <c r="F74" i="1"/>
  <c r="F988" i="1"/>
  <c r="F321" i="1"/>
  <c r="F222" i="1"/>
  <c r="F296" i="1"/>
  <c r="F276" i="1"/>
  <c r="F248" i="1"/>
  <c r="F457" i="1"/>
  <c r="F404" i="1"/>
  <c r="F361" i="1"/>
  <c r="F176" i="1"/>
  <c r="F842" i="1"/>
  <c r="F656" i="1"/>
  <c r="F572" i="1"/>
  <c r="F496" i="1"/>
  <c r="F635" i="1"/>
  <c r="F594" i="1"/>
  <c r="F773" i="1"/>
  <c r="F618" i="1"/>
  <c r="F729" i="1"/>
  <c r="F691" i="1"/>
  <c r="F537" i="1"/>
  <c r="F954" i="1"/>
  <c r="F805" i="1"/>
  <c r="F876" i="1"/>
  <c r="F935" i="1"/>
  <c r="F919" i="1"/>
  <c r="F896" i="1"/>
  <c r="F1067" i="1"/>
  <c r="F1026" i="1"/>
  <c r="F75" i="1"/>
  <c r="F989" i="1"/>
  <c r="F223" i="1"/>
  <c r="F297" i="1"/>
  <c r="F322" i="1"/>
  <c r="F277" i="1"/>
  <c r="F249" i="1"/>
  <c r="F458" i="1"/>
  <c r="F405" i="1"/>
  <c r="F362" i="1"/>
  <c r="F177" i="1"/>
  <c r="F692" i="1"/>
  <c r="F323" i="1"/>
  <c r="F538" i="1"/>
  <c r="F278" i="1"/>
  <c r="F459" i="1"/>
  <c r="F250" i="1"/>
  <c r="F363" i="1"/>
  <c r="F178" i="1"/>
  <c r="F1068" i="1"/>
  <c r="F920" i="1"/>
  <c r="F897" i="1"/>
  <c r="F657" i="1"/>
  <c r="F843" i="1"/>
  <c r="F990" i="1"/>
  <c r="F619" i="1"/>
  <c r="F955" i="1"/>
  <c r="F539" i="1"/>
  <c r="F774" i="1"/>
  <c r="F595" i="1"/>
  <c r="F324" i="1"/>
  <c r="F693" i="1"/>
  <c r="F279" i="1"/>
  <c r="F251" i="1"/>
  <c r="F460" i="1"/>
  <c r="F364" i="1"/>
  <c r="F179" i="1"/>
  <c r="F956" i="1"/>
  <c r="F1069" i="1"/>
  <c r="F898" i="1"/>
  <c r="F658" i="1"/>
  <c r="F620" i="1"/>
  <c r="F844" i="1"/>
  <c r="F596" i="1"/>
  <c r="F921" i="1"/>
  <c r="F540" i="1"/>
  <c r="F775" i="1"/>
  <c r="F325" i="1"/>
  <c r="F280" i="1"/>
  <c r="F694" i="1"/>
  <c r="F252" i="1"/>
  <c r="F461" i="1"/>
  <c r="F365" i="1"/>
  <c r="F180" i="1"/>
  <c r="F957" i="1"/>
  <c r="F659" i="1"/>
  <c r="F1070" i="1"/>
  <c r="F899" i="1"/>
  <c r="F621" i="1"/>
  <c r="F597" i="1"/>
  <c r="F922" i="1"/>
  <c r="F845" i="1"/>
  <c r="F776" i="1"/>
  <c r="F695" i="1"/>
  <c r="F541" i="1"/>
  <c r="F326" i="1"/>
  <c r="F991" i="1"/>
  <c r="F281" i="1"/>
  <c r="F253" i="1"/>
  <c r="F462" i="1"/>
  <c r="F366" i="1"/>
  <c r="F181" i="1"/>
  <c r="F1071" i="1"/>
  <c r="F958" i="1"/>
  <c r="F660" i="1"/>
  <c r="F923" i="1"/>
  <c r="F900" i="1"/>
  <c r="F622" i="1"/>
  <c r="F846" i="1"/>
  <c r="F777" i="1"/>
  <c r="F598" i="1"/>
  <c r="F992" i="1"/>
  <c r="F696" i="1"/>
  <c r="F542" i="1"/>
  <c r="F145" i="1"/>
  <c r="F36" i="1"/>
  <c r="F97" i="1"/>
  <c r="F120" i="1"/>
  <c r="F76" i="1"/>
  <c r="F224" i="1"/>
  <c r="F298" i="1"/>
  <c r="F327" i="1"/>
  <c r="F282" i="1"/>
  <c r="F254" i="1"/>
  <c r="F37" i="1"/>
  <c r="F121" i="1"/>
  <c r="F98" i="1"/>
  <c r="F146" i="1"/>
  <c r="F77" i="1"/>
  <c r="F15" i="1"/>
  <c r="F2" i="1"/>
  <c r="F225" i="1"/>
  <c r="F5" i="1"/>
  <c r="F45" i="1"/>
  <c r="F328" i="1"/>
  <c r="F299" i="1"/>
  <c r="F283" i="1"/>
  <c r="F255" i="1"/>
  <c r="F260" i="1"/>
  <c r="F4" i="1"/>
  <c r="F204" i="1"/>
  <c r="F206" i="1"/>
  <c r="F209" i="1"/>
  <c r="F212" i="1"/>
  <c r="F208" i="1"/>
  <c r="F425" i="1"/>
  <c r="F6" i="1"/>
  <c r="F207" i="1"/>
  <c r="F463" i="1"/>
  <c r="F476" i="1"/>
  <c r="F470" i="1"/>
  <c r="F434" i="1"/>
  <c r="F384" i="1"/>
  <c r="F3" i="1"/>
  <c r="F406" i="1"/>
  <c r="F205" i="1"/>
  <c r="F417" i="1"/>
  <c r="F411" i="1"/>
  <c r="F390" i="1"/>
  <c r="F334" i="1"/>
  <c r="F395" i="1"/>
  <c r="F367" i="1"/>
  <c r="F78" i="1"/>
  <c r="F147" i="1"/>
  <c r="F122" i="1"/>
  <c r="F99" i="1"/>
  <c r="F38" i="1"/>
  <c r="F49" i="1"/>
  <c r="F210" i="1"/>
  <c r="F46" i="1"/>
  <c r="F211" i="1"/>
  <c r="F261" i="1"/>
  <c r="F148" i="1"/>
  <c r="F123" i="1"/>
  <c r="F79" i="1"/>
  <c r="F39" i="1"/>
  <c r="F100" i="1"/>
  <c r="F50" i="1"/>
  <c r="F19" i="1"/>
  <c r="F12" i="1"/>
  <c r="F9" i="1"/>
  <c r="F14" i="1"/>
  <c r="F128" i="1"/>
  <c r="D37" i="2" l="1"/>
  <c r="E52" i="2"/>
  <c r="E38" i="2"/>
  <c r="C88" i="2" s="1"/>
  <c r="F36" i="2"/>
  <c r="D86" i="2" s="1"/>
  <c r="H32" i="2"/>
  <c r="I30" i="2"/>
  <c r="I38" i="2"/>
  <c r="E88" i="2" s="1"/>
  <c r="J36" i="2"/>
  <c r="F86" i="2" s="1"/>
  <c r="K34" i="2"/>
  <c r="L32" i="2"/>
  <c r="H84" i="2" s="1"/>
  <c r="C32" i="2"/>
  <c r="D36" i="2"/>
  <c r="E31" i="2"/>
  <c r="E39" i="2"/>
  <c r="C89" i="2" s="1"/>
  <c r="F37" i="2"/>
  <c r="D87" i="2" s="1"/>
  <c r="I31" i="2"/>
  <c r="I39" i="2"/>
  <c r="E89" i="2" s="1"/>
  <c r="L33" i="2"/>
  <c r="H85" i="2" s="1"/>
  <c r="C39" i="2"/>
  <c r="F52" i="2"/>
  <c r="F38" i="2"/>
  <c r="D88" i="2" s="1"/>
  <c r="G36" i="2"/>
  <c r="I32" i="2"/>
  <c r="E84" i="2" s="1"/>
  <c r="J38" i="2"/>
  <c r="F88" i="2" s="1"/>
  <c r="K36" i="2"/>
  <c r="G86" i="2" s="1"/>
  <c r="L34" i="2"/>
  <c r="C38" i="2"/>
  <c r="D34" i="2"/>
  <c r="E33" i="2"/>
  <c r="C85" i="2" s="1"/>
  <c r="F39" i="2"/>
  <c r="D89" i="2" s="1"/>
  <c r="G37" i="2"/>
  <c r="I33" i="2"/>
  <c r="E85" i="2" s="1"/>
  <c r="J31" i="2"/>
  <c r="J39" i="2"/>
  <c r="F89" i="2" s="1"/>
  <c r="K37" i="2"/>
  <c r="G87" i="2" s="1"/>
  <c r="E34" i="2"/>
  <c r="F32" i="2"/>
  <c r="D84" i="2" s="1"/>
  <c r="G52" i="2"/>
  <c r="G38" i="2"/>
  <c r="H36" i="2"/>
  <c r="I34" i="2"/>
  <c r="J32" i="2"/>
  <c r="F84" i="2" s="1"/>
  <c r="K30" i="2"/>
  <c r="L36" i="2"/>
  <c r="H86" i="2" s="1"/>
  <c r="C36" i="2"/>
  <c r="C52" i="2"/>
  <c r="D32" i="2"/>
  <c r="E35" i="2"/>
  <c r="G31" i="2"/>
  <c r="G39" i="2"/>
  <c r="I35" i="2"/>
  <c r="J33" i="2"/>
  <c r="F85" i="2" s="1"/>
  <c r="K39" i="2"/>
  <c r="G89" i="2" s="1"/>
  <c r="L37" i="2"/>
  <c r="H87" i="2" s="1"/>
  <c r="D39" i="2"/>
  <c r="E36" i="2"/>
  <c r="C86" i="2" s="1"/>
  <c r="F34" i="2"/>
  <c r="G32" i="2"/>
  <c r="J34" i="2"/>
  <c r="K32" i="2"/>
  <c r="G84" i="2" s="1"/>
  <c r="L38" i="2"/>
  <c r="H88" i="2" s="1"/>
  <c r="C34" i="2"/>
  <c r="D52" i="2"/>
  <c r="E37" i="2"/>
  <c r="C87" i="2" s="1"/>
  <c r="G33" i="2"/>
  <c r="I37" i="2"/>
  <c r="E87" i="2" s="1"/>
  <c r="K33" i="2"/>
  <c r="G85" i="2" s="1"/>
  <c r="L31" i="2"/>
  <c r="K52" i="2"/>
  <c r="C30" i="2"/>
  <c r="G30" i="2"/>
  <c r="J52" i="2"/>
  <c r="F30" i="2"/>
  <c r="I52" i="2"/>
  <c r="E30" i="2"/>
  <c r="H52" i="2"/>
  <c r="L30" i="2"/>
  <c r="D30" i="2"/>
  <c r="F67" i="2"/>
  <c r="C67" i="2" s="1"/>
  <c r="F74" i="2"/>
  <c r="C74" i="2" s="1"/>
  <c r="F70" i="2"/>
  <c r="C70" i="2" s="1"/>
  <c r="G76" i="2"/>
  <c r="D76" i="2" s="1"/>
  <c r="G72" i="2"/>
  <c r="D72" i="2" s="1"/>
  <c r="G68" i="2"/>
  <c r="D68" i="2" s="1"/>
  <c r="H74" i="2"/>
  <c r="E74" i="2" s="1"/>
  <c r="H67" i="2"/>
  <c r="E67" i="2" s="1"/>
  <c r="H69" i="2"/>
  <c r="E69" i="2" s="1"/>
  <c r="F75" i="2"/>
  <c r="C75" i="2" s="1"/>
  <c r="F71" i="2"/>
  <c r="C71" i="2" s="1"/>
  <c r="G73" i="2"/>
  <c r="D73" i="2" s="1"/>
  <c r="G69" i="2"/>
  <c r="D69" i="2" s="1"/>
  <c r="H75" i="2"/>
  <c r="E75" i="2" s="1"/>
  <c r="H71" i="2"/>
  <c r="E71" i="2" s="1"/>
  <c r="H70" i="2"/>
  <c r="E70" i="2" s="1"/>
  <c r="F73" i="2"/>
  <c r="C73" i="2" s="1"/>
  <c r="F69" i="2"/>
  <c r="C69" i="2" s="1"/>
  <c r="G75" i="2"/>
  <c r="D75" i="2" s="1"/>
  <c r="G71" i="2"/>
  <c r="D71" i="2" s="1"/>
  <c r="H73" i="2"/>
  <c r="E73" i="2" s="1"/>
  <c r="F76" i="2"/>
  <c r="C76" i="2" s="1"/>
  <c r="F72" i="2"/>
  <c r="C72" i="2" s="1"/>
  <c r="F68" i="2"/>
  <c r="C68" i="2" s="1"/>
  <c r="G74" i="2"/>
  <c r="D74" i="2" s="1"/>
  <c r="G70" i="2"/>
  <c r="D70" i="2" s="1"/>
  <c r="H76" i="2"/>
  <c r="E76" i="2" s="1"/>
  <c r="H72" i="2"/>
  <c r="E72" i="2" s="1"/>
  <c r="H68" i="2"/>
  <c r="E68" i="2" s="1"/>
  <c r="G67" i="2"/>
  <c r="D67" i="2" s="1"/>
</calcChain>
</file>

<file path=xl/sharedStrings.xml><?xml version="1.0" encoding="utf-8"?>
<sst xmlns="http://schemas.openxmlformats.org/spreadsheetml/2006/main" count="2333" uniqueCount="46">
  <si>
    <t>Player-1</t>
  </si>
  <si>
    <t>Naive Player [ANN]</t>
  </si>
  <si>
    <t>Naive Player [PaperEval]</t>
  </si>
  <si>
    <t>Evil Player</t>
  </si>
  <si>
    <t>Alpha-beta [SGD]</t>
  </si>
  <si>
    <t>Monte Carlo [SGD]</t>
  </si>
  <si>
    <t>Alpha-beta [PaperEval]</t>
  </si>
  <si>
    <t>Monte Carlo [PaperEval]</t>
  </si>
  <si>
    <t>Monte Carlo [ANN]</t>
  </si>
  <si>
    <t>Alpha-beta [ANN]</t>
  </si>
  <si>
    <t>Naive Player [SGD]</t>
  </si>
  <si>
    <t>Time (min)</t>
  </si>
  <si>
    <t>Number of tests</t>
  </si>
  <si>
    <t>Player2</t>
  </si>
  <si>
    <t>Player1</t>
  </si>
  <si>
    <t>Player-2</t>
  </si>
  <si>
    <t>Number of wins for P1</t>
  </si>
  <si>
    <t>Percentage wins for P1</t>
  </si>
  <si>
    <t>Total number of tests</t>
  </si>
  <si>
    <t>Total</t>
  </si>
  <si>
    <t>1v1 Wins</t>
  </si>
  <si>
    <t>1v1 Losses</t>
  </si>
  <si>
    <t>2v2 Wins</t>
  </si>
  <si>
    <t>2v2 Losses</t>
  </si>
  <si>
    <t>3v3 Wins</t>
  </si>
  <si>
    <t>3v3 Losses</t>
  </si>
  <si>
    <t>1v1 Wins (%)</t>
  </si>
  <si>
    <t>2v2 Wins (%)</t>
  </si>
  <si>
    <t>3v3 Wins (%)</t>
  </si>
  <si>
    <t>1v1 Games</t>
  </si>
  <si>
    <t>2v2 Games</t>
  </si>
  <si>
    <t>3v3 Games</t>
  </si>
  <si>
    <t>10 to 24</t>
  </si>
  <si>
    <t>25 to 49</t>
  </si>
  <si>
    <t>&gt; 50</t>
  </si>
  <si>
    <t>&lt; 10</t>
  </si>
  <si>
    <t>no data</t>
  </si>
  <si>
    <t>Test count</t>
  </si>
  <si>
    <t>(confidence)</t>
  </si>
  <si>
    <t>Note: 1 in 10 games did not have a winner. For these games, the win was incorrectly assigned to player 2</t>
  </si>
  <si>
    <t>Overall wins</t>
  </si>
  <si>
    <t>Winner</t>
  </si>
  <si>
    <t>Number of Players</t>
  </si>
  <si>
    <t>Time (ns)</t>
  </si>
  <si>
    <t>Avg duration of game (min)</t>
  </si>
  <si>
    <t>Min duration of game (s)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</si>
</sst>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7" formatCode="0.00\ &quot;s&quot;"/>
    <numFmt numFmtId="168" formatCode="0.0\ &quot;min&quot;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rgb="FF33CC3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31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0" fillId="0" borderId="0" xfId="0" applyAlignment="1">
      <alignment horizontal="center"/>
    </xf>
    <xf numFmtId="0" fontId="0" fillId="0" borderId="0" xfId="0" applyFont="1"/>
    <xf numFmtId="9" fontId="0" fillId="0" borderId="0" xfId="42" applyFont="1"/>
    <xf numFmtId="0" fontId="0" fillId="33" borderId="0" xfId="0" applyFill="1"/>
    <xf numFmtId="0" fontId="0" fillId="34" borderId="0" xfId="0" applyFill="1"/>
    <xf numFmtId="0" fontId="0" fillId="35" borderId="0" xfId="0" applyFill="1"/>
    <xf numFmtId="0" fontId="0" fillId="0" borderId="0" xfId="0" applyFill="1"/>
    <xf numFmtId="9" fontId="0" fillId="36" borderId="0" xfId="42" applyFont="1" applyFill="1"/>
    <xf numFmtId="0" fontId="0" fillId="38" borderId="0" xfId="0" applyFill="1"/>
    <xf numFmtId="0" fontId="0" fillId="40" borderId="0" xfId="0" applyFill="1"/>
    <xf numFmtId="0" fontId="0" fillId="41" borderId="0" xfId="0" applyFill="1"/>
    <xf numFmtId="17" fontId="0" fillId="39" borderId="0" xfId="0" applyNumberFormat="1" applyFill="1"/>
    <xf numFmtId="0" fontId="0" fillId="42" borderId="0" xfId="0" applyFill="1"/>
    <xf numFmtId="0" fontId="17" fillId="0" borderId="0" xfId="0" applyFont="1" applyFill="1"/>
    <xf numFmtId="0" fontId="0" fillId="43" borderId="0" xfId="0" applyFill="1"/>
    <xf numFmtId="9" fontId="0" fillId="37" borderId="0" xfId="42" applyFont="1" applyFill="1"/>
    <xf numFmtId="0" fontId="16" fillId="0" borderId="0" xfId="0" applyFont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0" borderId="0" xfId="0" applyFont="1" applyFill="1" applyAlignment="1">
      <alignment horizontal="center"/>
    </xf>
    <xf numFmtId="17" fontId="0" fillId="0" borderId="0" xfId="0" applyNumberFormat="1" applyFill="1"/>
    <xf numFmtId="9" fontId="18" fillId="0" borderId="0" xfId="42" applyFont="1" applyFill="1"/>
    <xf numFmtId="1" fontId="0" fillId="0" borderId="0" xfId="0" applyNumberFormat="1"/>
    <xf numFmtId="167" fontId="0" fillId="0" borderId="0" xfId="42" applyNumberFormat="1" applyFont="1"/>
    <xf numFmtId="168" fontId="0" fillId="0" borderId="0" xfId="42" applyNumberFormat="1" applyFont="1"/>
    <xf numFmtId="0" fontId="0" fillId="44" borderId="0" xfId="0" applyFill="1"/>
    <xf numFmtId="0" fontId="16" fillId="44" borderId="0" xfId="0" applyFont="1" applyFill="1"/>
    <xf numFmtId="0" fontId="16" fillId="44" borderId="10" xfId="0" applyFont="1" applyFill="1" applyBorder="1"/>
    <xf numFmtId="9" fontId="16" fillId="44" borderId="0" xfId="42" applyFont="1" applyFill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46"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ill>
        <patternFill>
          <bgColor rgb="FFCCFF99"/>
        </patternFill>
      </fill>
    </dxf>
    <dxf>
      <fill>
        <patternFill>
          <bgColor rgb="FF99FF66"/>
        </patternFill>
      </fill>
    </dxf>
    <dxf>
      <fill>
        <patternFill>
          <bgColor rgb="FF33CC33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ill>
        <patternFill>
          <bgColor rgb="FFCCFF99"/>
        </patternFill>
      </fill>
    </dxf>
    <dxf>
      <fill>
        <patternFill>
          <bgColor rgb="FF99FF66"/>
        </patternFill>
      </fill>
    </dxf>
    <dxf>
      <fill>
        <patternFill>
          <bgColor rgb="FF33CC33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ill>
        <patternFill>
          <bgColor rgb="FFCCFF99"/>
        </patternFill>
      </fill>
    </dxf>
    <dxf>
      <fill>
        <patternFill>
          <bgColor rgb="FF99FF66"/>
        </patternFill>
      </fill>
    </dxf>
    <dxf>
      <fill>
        <patternFill>
          <bgColor rgb="FF33CC33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ill>
        <patternFill>
          <bgColor rgb="FFCCFF99"/>
        </patternFill>
      </fill>
    </dxf>
    <dxf>
      <fill>
        <patternFill>
          <bgColor rgb="FF99FF66"/>
        </patternFill>
      </fill>
    </dxf>
    <dxf>
      <fill>
        <patternFill>
          <bgColor rgb="FF33CC33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ill>
        <patternFill>
          <bgColor rgb="FFCCFF99"/>
        </patternFill>
      </fill>
    </dxf>
    <dxf>
      <fill>
        <patternFill>
          <bgColor rgb="FF99FF66"/>
        </patternFill>
      </fill>
    </dxf>
    <dxf>
      <fill>
        <patternFill>
          <bgColor rgb="FF33CC33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ill>
        <patternFill>
          <bgColor rgb="FFCCFF99"/>
        </patternFill>
      </fill>
    </dxf>
    <dxf>
      <fill>
        <patternFill>
          <bgColor rgb="FF99FF66"/>
        </patternFill>
      </fill>
    </dxf>
    <dxf>
      <fill>
        <patternFill>
          <bgColor rgb="FF33CC33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ill>
        <patternFill>
          <bgColor rgb="FFCCFF99"/>
        </patternFill>
      </fill>
    </dxf>
    <dxf>
      <fill>
        <patternFill>
          <bgColor rgb="FF99FF66"/>
        </patternFill>
      </fill>
    </dxf>
    <dxf>
      <fill>
        <patternFill>
          <bgColor rgb="FF33CC33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ill>
        <patternFill>
          <bgColor rgb="FFCCFF99"/>
        </patternFill>
      </fill>
    </dxf>
    <dxf>
      <fill>
        <patternFill>
          <bgColor rgb="FF99FF66"/>
        </patternFill>
      </fill>
    </dxf>
    <dxf>
      <fill>
        <patternFill>
          <bgColor rgb="FF33CC33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ill>
        <patternFill>
          <bgColor rgb="FFCCFF99"/>
        </patternFill>
      </fill>
    </dxf>
    <dxf>
      <fill>
        <patternFill>
          <bgColor rgb="FF99FF66"/>
        </patternFill>
      </fill>
    </dxf>
    <dxf>
      <fill>
        <patternFill>
          <bgColor rgb="FF33CC33"/>
        </patternFill>
      </fill>
    </dxf>
    <dxf>
      <numFmt numFmtId="1" formatCode="0"/>
    </dxf>
  </dxfs>
  <tableStyles count="0" defaultTableStyle="TableStyleMedium2" defaultPivotStyle="PivotStyleLight16"/>
  <colors>
    <mruColors>
      <color rgb="FF61FFA8"/>
      <color rgb="FFFFF0C1"/>
      <color rgb="FFFFA7A7"/>
      <color rgb="FFFFE48F"/>
      <color rgb="FF00DE64"/>
      <color rgb="FFFF5D5D"/>
      <color rgb="FFF6867A"/>
      <color rgb="FF33CC33"/>
      <color rgb="FF99FF66"/>
      <color rgb="FFCC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Percentage of wins (1v1)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780-4792-B88F-9F72CFF678B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780-4792-B88F-9F72CFF678B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780-4792-B88F-9F72CFF678B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780-4792-B88F-9F72CFF678B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B780-4792-B88F-9F72CFF678B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780-4792-B88F-9F72CFF678B4}"/>
              </c:ext>
            </c:extLst>
          </c:dPt>
          <c:cat>
            <c:strRef>
              <c:f>(tables!$B$69:$B$70,tables!$B$73:$B$76)</c:f>
              <c:strCache>
                <c:ptCount val="6"/>
                <c:pt idx="0">
                  <c:v>Alpha-beta [SGD]</c:v>
                </c:pt>
                <c:pt idx="1">
                  <c:v>Evil Player</c:v>
                </c:pt>
                <c:pt idx="2">
                  <c:v>Monte Carlo [SGD]</c:v>
                </c:pt>
                <c:pt idx="3">
                  <c:v>Naive Player [ANN]</c:v>
                </c:pt>
                <c:pt idx="4">
                  <c:v>Naive Player [PaperEval]</c:v>
                </c:pt>
                <c:pt idx="5">
                  <c:v>Naive Player [SGD]</c:v>
                </c:pt>
              </c:strCache>
            </c:strRef>
          </c:cat>
          <c:val>
            <c:numRef>
              <c:f>(tables!$C$69:$C$70,tables!$C$73:$C$76)</c:f>
              <c:numCache>
                <c:formatCode>0%</c:formatCode>
                <c:ptCount val="6"/>
                <c:pt idx="0">
                  <c:v>0.66129032258064513</c:v>
                </c:pt>
                <c:pt idx="1">
                  <c:v>0.18110236220472442</c:v>
                </c:pt>
                <c:pt idx="2">
                  <c:v>0.59765625</c:v>
                </c:pt>
                <c:pt idx="3">
                  <c:v>0.24576271186440679</c:v>
                </c:pt>
                <c:pt idx="4">
                  <c:v>0.85416666666666663</c:v>
                </c:pt>
                <c:pt idx="5">
                  <c:v>0.39705882352941174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B780-4792-B88F-9F72CFF678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Percentage</a:t>
            </a:r>
            <a:r>
              <a:rPr lang="en-GB" baseline="0"/>
              <a:t> of wins (2v2)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392-4214-935A-0E377224CF8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392-4214-935A-0E377224CF8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392-4214-935A-0E377224CF8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392-4214-935A-0E377224CF8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392-4214-935A-0E377224CF8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392-4214-935A-0E377224CF80}"/>
              </c:ext>
            </c:extLst>
          </c:dPt>
          <c:cat>
            <c:strRef>
              <c:f>(tables!$B$69:$B$70,tables!$B$73:$B$76)</c:f>
              <c:strCache>
                <c:ptCount val="6"/>
                <c:pt idx="0">
                  <c:v>Alpha-beta [SGD]</c:v>
                </c:pt>
                <c:pt idx="1">
                  <c:v>Evil Player</c:v>
                </c:pt>
                <c:pt idx="2">
                  <c:v>Monte Carlo [SGD]</c:v>
                </c:pt>
                <c:pt idx="3">
                  <c:v>Naive Player [ANN]</c:v>
                </c:pt>
                <c:pt idx="4">
                  <c:v>Naive Player [PaperEval]</c:v>
                </c:pt>
                <c:pt idx="5">
                  <c:v>Naive Player [SGD]</c:v>
                </c:pt>
              </c:strCache>
            </c:strRef>
          </c:cat>
          <c:val>
            <c:numRef>
              <c:f>(tables!$D$69:$D$70,tables!$D$73:$D$76)</c:f>
              <c:numCache>
                <c:formatCode>0%</c:formatCode>
                <c:ptCount val="6"/>
                <c:pt idx="0">
                  <c:v>0.55882352941176472</c:v>
                </c:pt>
                <c:pt idx="1">
                  <c:v>0.15463917525773196</c:v>
                </c:pt>
                <c:pt idx="2">
                  <c:v>0.64851485148514854</c:v>
                </c:pt>
                <c:pt idx="3">
                  <c:v>9.5744680851063829E-2</c:v>
                </c:pt>
                <c:pt idx="4">
                  <c:v>0.96923076923076923</c:v>
                </c:pt>
                <c:pt idx="5">
                  <c:v>0.5714285714285714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392-4214-935A-0E377224CF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Percentage of wins</a:t>
            </a:r>
            <a:r>
              <a:rPr lang="en-GB" baseline="0"/>
              <a:t> (3v3)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27E-4C8B-BE06-CD56E90E1DC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27E-4C8B-BE06-CD56E90E1DC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27E-4C8B-BE06-CD56E90E1DC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27E-4C8B-BE06-CD56E90E1DC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27E-4C8B-BE06-CD56E90E1DC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27E-4C8B-BE06-CD56E90E1DC2}"/>
              </c:ext>
            </c:extLst>
          </c:dPt>
          <c:cat>
            <c:strRef>
              <c:f>(tables!$B$69:$B$70,tables!$B$73:$B$76)</c:f>
              <c:strCache>
                <c:ptCount val="6"/>
                <c:pt idx="0">
                  <c:v>Alpha-beta [SGD]</c:v>
                </c:pt>
                <c:pt idx="1">
                  <c:v>Evil Player</c:v>
                </c:pt>
                <c:pt idx="2">
                  <c:v>Monte Carlo [SGD]</c:v>
                </c:pt>
                <c:pt idx="3">
                  <c:v>Naive Player [ANN]</c:v>
                </c:pt>
                <c:pt idx="4">
                  <c:v>Naive Player [PaperEval]</c:v>
                </c:pt>
                <c:pt idx="5">
                  <c:v>Naive Player [SGD]</c:v>
                </c:pt>
              </c:strCache>
            </c:strRef>
          </c:cat>
          <c:val>
            <c:numRef>
              <c:f>(tables!$E$69:$E$70,tables!$E$73:$E$76)</c:f>
              <c:numCache>
                <c:formatCode>0%</c:formatCode>
                <c:ptCount val="6"/>
                <c:pt idx="0">
                  <c:v>0.60317460317460314</c:v>
                </c:pt>
                <c:pt idx="1">
                  <c:v>8.98876404494382E-2</c:v>
                </c:pt>
                <c:pt idx="2">
                  <c:v>0.59788359788359791</c:v>
                </c:pt>
                <c:pt idx="3">
                  <c:v>0.1</c:v>
                </c:pt>
                <c:pt idx="4">
                  <c:v>0.95454545454545459</c:v>
                </c:pt>
                <c:pt idx="5">
                  <c:v>0.6966292134831461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027E-4C8B-BE06-CD56E90E1D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304800</xdr:colOff>
      <xdr:row>16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FE6D07-7E05-4D28-B761-8B02FBC4A0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403860</xdr:colOff>
      <xdr:row>1</xdr:row>
      <xdr:rowOff>7620</xdr:rowOff>
    </xdr:from>
    <xdr:to>
      <xdr:col>16</xdr:col>
      <xdr:colOff>99060</xdr:colOff>
      <xdr:row>16</xdr:row>
      <xdr:rowOff>7620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5E5360E-DEFC-47BF-AD26-DF9560494B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163484</xdr:colOff>
      <xdr:row>1</xdr:row>
      <xdr:rowOff>14547</xdr:rowOff>
    </xdr:from>
    <xdr:to>
      <xdr:col>23</xdr:col>
      <xdr:colOff>468284</xdr:colOff>
      <xdr:row>16</xdr:row>
      <xdr:rowOff>14548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520A376-195E-4CAE-86AD-C9D272B198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1085" totalsRowShown="0">
  <autoFilter ref="A1:F1085" xr:uid="{00000000-0009-0000-0100-000001000000}"/>
  <sortState xmlns:xlrd2="http://schemas.microsoft.com/office/spreadsheetml/2017/richdata2" ref="A2:F1085">
    <sortCondition ref="D1:D1085"/>
  </sortState>
  <tableColumns count="6">
    <tableColumn id="1" xr3:uid="{00000000-0010-0000-0000-000001000000}" name="Player-1"/>
    <tableColumn id="2" xr3:uid="{00000000-0010-0000-0000-000002000000}" name="Player-2"/>
    <tableColumn id="3" xr3:uid="{00000000-0010-0000-0000-000003000000}" name="Winner"/>
    <tableColumn id="4" xr3:uid="{00000000-0010-0000-0000-000004000000}" name="Number of Players"/>
    <tableColumn id="5" xr3:uid="{00000000-0010-0000-0000-000005000000}" name="Time (ns)" dataDxfId="45"/>
    <tableColumn id="6" xr3:uid="{00000000-0010-0000-0000-000006000000}" name="Time (min)">
      <calculatedColumnFormula>ROUND(E2/60000000000, 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85"/>
  <sheetViews>
    <sheetView workbookViewId="0">
      <selection activeCell="E2" sqref="E2"/>
    </sheetView>
  </sheetViews>
  <sheetFormatPr defaultRowHeight="14.4" x14ac:dyDescent="0.3"/>
  <cols>
    <col min="1" max="1" width="23.44140625" customWidth="1"/>
    <col min="2" max="2" width="22" customWidth="1"/>
    <col min="3" max="3" width="11" customWidth="1"/>
    <col min="4" max="4" width="18.88671875" customWidth="1"/>
    <col min="5" max="5" width="18.21875" customWidth="1"/>
    <col min="6" max="6" width="12" customWidth="1"/>
  </cols>
  <sheetData>
    <row r="1" spans="1:6" x14ac:dyDescent="0.3">
      <c r="A1" t="s">
        <v>0</v>
      </c>
      <c r="B1" t="s">
        <v>15</v>
      </c>
      <c r="C1" t="s">
        <v>41</v>
      </c>
      <c r="D1" t="s">
        <v>42</v>
      </c>
      <c r="E1" t="s">
        <v>43</v>
      </c>
      <c r="F1" t="s">
        <v>11</v>
      </c>
    </row>
    <row r="2" spans="1:6" x14ac:dyDescent="0.3">
      <c r="A2" t="s">
        <v>9</v>
      </c>
      <c r="B2" t="s">
        <v>4</v>
      </c>
      <c r="C2">
        <v>1</v>
      </c>
      <c r="D2">
        <v>2</v>
      </c>
      <c r="E2" s="24">
        <v>8876136918400</v>
      </c>
      <c r="F2">
        <f t="shared" ref="F2:F65" si="0">ROUND(E2/60000000000, 1)</f>
        <v>147.9</v>
      </c>
    </row>
    <row r="3" spans="1:6" x14ac:dyDescent="0.3">
      <c r="A3" t="s">
        <v>9</v>
      </c>
      <c r="B3" t="s">
        <v>8</v>
      </c>
      <c r="C3">
        <v>1</v>
      </c>
      <c r="D3">
        <v>2</v>
      </c>
      <c r="E3" s="24">
        <v>32834154132700</v>
      </c>
      <c r="F3">
        <f t="shared" si="0"/>
        <v>547.20000000000005</v>
      </c>
    </row>
    <row r="4" spans="1:6" x14ac:dyDescent="0.3">
      <c r="A4" t="s">
        <v>9</v>
      </c>
      <c r="B4" t="s">
        <v>5</v>
      </c>
      <c r="C4">
        <v>1</v>
      </c>
      <c r="D4">
        <v>2</v>
      </c>
      <c r="E4" s="24">
        <v>18138288906500</v>
      </c>
      <c r="F4">
        <f t="shared" si="0"/>
        <v>302.3</v>
      </c>
    </row>
    <row r="5" spans="1:6" x14ac:dyDescent="0.3">
      <c r="A5" t="s">
        <v>9</v>
      </c>
      <c r="B5" t="s">
        <v>2</v>
      </c>
      <c r="C5">
        <v>1</v>
      </c>
      <c r="D5">
        <v>2</v>
      </c>
      <c r="E5" s="24">
        <v>12500538078100</v>
      </c>
      <c r="F5">
        <f t="shared" si="0"/>
        <v>208.3</v>
      </c>
    </row>
    <row r="6" spans="1:6" x14ac:dyDescent="0.3">
      <c r="A6" t="s">
        <v>9</v>
      </c>
      <c r="B6" t="s">
        <v>10</v>
      </c>
      <c r="C6">
        <v>1</v>
      </c>
      <c r="D6">
        <v>2</v>
      </c>
      <c r="E6" s="24">
        <v>31880323223700</v>
      </c>
      <c r="F6">
        <f t="shared" si="0"/>
        <v>531.29999999999995</v>
      </c>
    </row>
    <row r="7" spans="1:6" x14ac:dyDescent="0.3">
      <c r="A7" t="s">
        <v>6</v>
      </c>
      <c r="B7" t="s">
        <v>4</v>
      </c>
      <c r="C7">
        <v>0</v>
      </c>
      <c r="D7">
        <v>2</v>
      </c>
      <c r="E7" s="24">
        <v>8179575393300</v>
      </c>
      <c r="F7">
        <f t="shared" si="0"/>
        <v>136.30000000000001</v>
      </c>
    </row>
    <row r="8" spans="1:6" x14ac:dyDescent="0.3">
      <c r="A8" t="s">
        <v>6</v>
      </c>
      <c r="B8" t="s">
        <v>4</v>
      </c>
      <c r="C8">
        <v>0</v>
      </c>
      <c r="D8">
        <v>2</v>
      </c>
      <c r="E8" s="24">
        <v>3468190450466</v>
      </c>
      <c r="F8">
        <f t="shared" si="0"/>
        <v>57.8</v>
      </c>
    </row>
    <row r="9" spans="1:6" x14ac:dyDescent="0.3">
      <c r="A9" t="s">
        <v>6</v>
      </c>
      <c r="B9" t="s">
        <v>8</v>
      </c>
      <c r="C9">
        <v>0</v>
      </c>
      <c r="D9">
        <v>2</v>
      </c>
      <c r="E9" s="24">
        <v>16318453030700</v>
      </c>
      <c r="F9">
        <f t="shared" si="0"/>
        <v>272</v>
      </c>
    </row>
    <row r="10" spans="1:6" x14ac:dyDescent="0.3">
      <c r="A10" t="s">
        <v>6</v>
      </c>
      <c r="B10" t="s">
        <v>5</v>
      </c>
      <c r="C10">
        <v>0</v>
      </c>
      <c r="D10">
        <v>2</v>
      </c>
      <c r="E10" s="24">
        <v>6433953824000</v>
      </c>
      <c r="F10">
        <f t="shared" si="0"/>
        <v>107.2</v>
      </c>
    </row>
    <row r="11" spans="1:6" x14ac:dyDescent="0.3">
      <c r="A11" t="s">
        <v>6</v>
      </c>
      <c r="B11" t="s">
        <v>5</v>
      </c>
      <c r="C11">
        <v>1</v>
      </c>
      <c r="D11">
        <v>2</v>
      </c>
      <c r="E11" s="24">
        <v>3981663976299</v>
      </c>
      <c r="F11">
        <f t="shared" si="0"/>
        <v>66.400000000000006</v>
      </c>
    </row>
    <row r="12" spans="1:6" x14ac:dyDescent="0.3">
      <c r="A12" t="s">
        <v>6</v>
      </c>
      <c r="B12" t="s">
        <v>5</v>
      </c>
      <c r="C12">
        <v>0</v>
      </c>
      <c r="D12">
        <v>2</v>
      </c>
      <c r="E12" s="24">
        <v>11349091871700</v>
      </c>
      <c r="F12">
        <f t="shared" si="0"/>
        <v>189.2</v>
      </c>
    </row>
    <row r="13" spans="1:6" x14ac:dyDescent="0.3">
      <c r="A13" t="s">
        <v>6</v>
      </c>
      <c r="B13" t="s">
        <v>1</v>
      </c>
      <c r="C13">
        <v>0</v>
      </c>
      <c r="D13">
        <v>2</v>
      </c>
      <c r="E13" s="24">
        <v>8805447791100</v>
      </c>
      <c r="F13">
        <f t="shared" si="0"/>
        <v>146.80000000000001</v>
      </c>
    </row>
    <row r="14" spans="1:6" x14ac:dyDescent="0.3">
      <c r="A14" t="s">
        <v>6</v>
      </c>
      <c r="B14" t="s">
        <v>10</v>
      </c>
      <c r="C14">
        <v>0</v>
      </c>
      <c r="D14">
        <v>2</v>
      </c>
      <c r="E14" s="24">
        <v>12855966365999</v>
      </c>
      <c r="F14">
        <f t="shared" si="0"/>
        <v>214.3</v>
      </c>
    </row>
    <row r="15" spans="1:6" x14ac:dyDescent="0.3">
      <c r="A15" t="s">
        <v>4</v>
      </c>
      <c r="B15" t="s">
        <v>9</v>
      </c>
      <c r="C15">
        <v>0</v>
      </c>
      <c r="D15">
        <v>2</v>
      </c>
      <c r="E15" s="24">
        <v>5185425381000</v>
      </c>
      <c r="F15">
        <f t="shared" si="0"/>
        <v>86.4</v>
      </c>
    </row>
    <row r="16" spans="1:6" x14ac:dyDescent="0.3">
      <c r="A16" t="s">
        <v>4</v>
      </c>
      <c r="B16" t="s">
        <v>6</v>
      </c>
      <c r="C16">
        <v>1</v>
      </c>
      <c r="D16">
        <v>2</v>
      </c>
      <c r="E16" s="24">
        <v>5848858848900</v>
      </c>
      <c r="F16">
        <f t="shared" si="0"/>
        <v>97.5</v>
      </c>
    </row>
    <row r="17" spans="1:6" x14ac:dyDescent="0.3">
      <c r="A17" t="s">
        <v>4</v>
      </c>
      <c r="B17" t="s">
        <v>6</v>
      </c>
      <c r="C17">
        <v>1</v>
      </c>
      <c r="D17">
        <v>2</v>
      </c>
      <c r="E17" s="24">
        <v>3314068318368</v>
      </c>
      <c r="F17">
        <f t="shared" si="0"/>
        <v>55.2</v>
      </c>
    </row>
    <row r="18" spans="1:6" x14ac:dyDescent="0.3">
      <c r="A18" t="s">
        <v>4</v>
      </c>
      <c r="B18" t="s">
        <v>6</v>
      </c>
      <c r="C18">
        <v>1</v>
      </c>
      <c r="D18">
        <v>2</v>
      </c>
      <c r="E18" s="24">
        <v>5853687094300</v>
      </c>
      <c r="F18">
        <f t="shared" si="0"/>
        <v>97.6</v>
      </c>
    </row>
    <row r="19" spans="1:6" x14ac:dyDescent="0.3">
      <c r="A19" t="s">
        <v>4</v>
      </c>
      <c r="B19" t="s">
        <v>6</v>
      </c>
      <c r="C19">
        <v>1</v>
      </c>
      <c r="D19">
        <v>2</v>
      </c>
      <c r="E19" s="24">
        <v>8896041715300</v>
      </c>
      <c r="F19">
        <f t="shared" si="0"/>
        <v>148.30000000000001</v>
      </c>
    </row>
    <row r="20" spans="1:6" x14ac:dyDescent="0.3">
      <c r="A20" t="s">
        <v>4</v>
      </c>
      <c r="B20" t="s">
        <v>3</v>
      </c>
      <c r="C20">
        <v>0</v>
      </c>
      <c r="D20">
        <v>2</v>
      </c>
      <c r="E20" s="24">
        <v>99991433500</v>
      </c>
      <c r="F20">
        <f t="shared" si="0"/>
        <v>1.7</v>
      </c>
    </row>
    <row r="21" spans="1:6" x14ac:dyDescent="0.3">
      <c r="A21" t="s">
        <v>4</v>
      </c>
      <c r="B21" t="s">
        <v>3</v>
      </c>
      <c r="C21">
        <v>0</v>
      </c>
      <c r="D21">
        <v>2</v>
      </c>
      <c r="E21" s="24">
        <v>63241219300</v>
      </c>
      <c r="F21">
        <f t="shared" si="0"/>
        <v>1.1000000000000001</v>
      </c>
    </row>
    <row r="22" spans="1:6" x14ac:dyDescent="0.3">
      <c r="A22" t="s">
        <v>4</v>
      </c>
      <c r="B22" t="s">
        <v>3</v>
      </c>
      <c r="C22">
        <v>1</v>
      </c>
      <c r="D22">
        <v>2</v>
      </c>
      <c r="E22" s="24">
        <v>318901912499</v>
      </c>
      <c r="F22">
        <f t="shared" si="0"/>
        <v>5.3</v>
      </c>
    </row>
    <row r="23" spans="1:6" x14ac:dyDescent="0.3">
      <c r="A23" t="s">
        <v>4</v>
      </c>
      <c r="B23" t="s">
        <v>3</v>
      </c>
      <c r="C23">
        <v>0</v>
      </c>
      <c r="D23">
        <v>2</v>
      </c>
      <c r="E23" s="24">
        <v>75343411500</v>
      </c>
      <c r="F23">
        <f t="shared" si="0"/>
        <v>1.3</v>
      </c>
    </row>
    <row r="24" spans="1:6" x14ac:dyDescent="0.3">
      <c r="A24" t="s">
        <v>4</v>
      </c>
      <c r="B24" t="s">
        <v>3</v>
      </c>
      <c r="C24">
        <v>0</v>
      </c>
      <c r="D24">
        <v>2</v>
      </c>
      <c r="E24" s="24">
        <v>60804980700</v>
      </c>
      <c r="F24">
        <f t="shared" si="0"/>
        <v>1</v>
      </c>
    </row>
    <row r="25" spans="1:6" x14ac:dyDescent="0.3">
      <c r="A25" t="s">
        <v>4</v>
      </c>
      <c r="B25" t="s">
        <v>3</v>
      </c>
      <c r="C25">
        <v>1</v>
      </c>
      <c r="D25">
        <v>2</v>
      </c>
      <c r="E25" s="24">
        <v>161451832500</v>
      </c>
      <c r="F25">
        <f t="shared" si="0"/>
        <v>2.7</v>
      </c>
    </row>
    <row r="26" spans="1:6" x14ac:dyDescent="0.3">
      <c r="A26" t="s">
        <v>4</v>
      </c>
      <c r="B26" t="s">
        <v>3</v>
      </c>
      <c r="C26">
        <v>0</v>
      </c>
      <c r="D26">
        <v>2</v>
      </c>
      <c r="E26" s="24">
        <v>71187154600</v>
      </c>
      <c r="F26">
        <f t="shared" si="0"/>
        <v>1.2</v>
      </c>
    </row>
    <row r="27" spans="1:6" x14ac:dyDescent="0.3">
      <c r="A27" t="s">
        <v>4</v>
      </c>
      <c r="B27" t="s">
        <v>3</v>
      </c>
      <c r="C27">
        <v>0</v>
      </c>
      <c r="D27">
        <v>2</v>
      </c>
      <c r="E27" s="24">
        <v>27767814373</v>
      </c>
      <c r="F27">
        <f t="shared" si="0"/>
        <v>0.5</v>
      </c>
    </row>
    <row r="28" spans="1:6" x14ac:dyDescent="0.3">
      <c r="A28" t="s">
        <v>4</v>
      </c>
      <c r="B28" t="s">
        <v>3</v>
      </c>
      <c r="C28">
        <v>0</v>
      </c>
      <c r="D28">
        <v>2</v>
      </c>
      <c r="E28" s="24">
        <v>24582179010</v>
      </c>
      <c r="F28">
        <f t="shared" si="0"/>
        <v>0.4</v>
      </c>
    </row>
    <row r="29" spans="1:6" x14ac:dyDescent="0.3">
      <c r="A29" t="s">
        <v>4</v>
      </c>
      <c r="B29" t="s">
        <v>3</v>
      </c>
      <c r="C29">
        <v>0</v>
      </c>
      <c r="D29">
        <v>2</v>
      </c>
      <c r="E29" s="24">
        <v>12476160401</v>
      </c>
      <c r="F29">
        <f t="shared" si="0"/>
        <v>0.2</v>
      </c>
    </row>
    <row r="30" spans="1:6" x14ac:dyDescent="0.3">
      <c r="A30" t="s">
        <v>4</v>
      </c>
      <c r="B30" t="s">
        <v>3</v>
      </c>
      <c r="C30">
        <v>1</v>
      </c>
      <c r="D30">
        <v>2</v>
      </c>
      <c r="E30" s="24">
        <v>89572992600</v>
      </c>
      <c r="F30">
        <f t="shared" si="0"/>
        <v>1.5</v>
      </c>
    </row>
    <row r="31" spans="1:6" x14ac:dyDescent="0.3">
      <c r="A31" t="s">
        <v>4</v>
      </c>
      <c r="B31" t="s">
        <v>3</v>
      </c>
      <c r="C31">
        <v>0</v>
      </c>
      <c r="D31">
        <v>2</v>
      </c>
      <c r="E31" s="24">
        <v>54134925400</v>
      </c>
      <c r="F31">
        <f t="shared" si="0"/>
        <v>0.9</v>
      </c>
    </row>
    <row r="32" spans="1:6" x14ac:dyDescent="0.3">
      <c r="A32" t="s">
        <v>4</v>
      </c>
      <c r="B32" t="s">
        <v>3</v>
      </c>
      <c r="C32">
        <v>0</v>
      </c>
      <c r="D32">
        <v>2</v>
      </c>
      <c r="E32" s="24">
        <v>44898988000</v>
      </c>
      <c r="F32">
        <f t="shared" si="0"/>
        <v>0.7</v>
      </c>
    </row>
    <row r="33" spans="1:6" x14ac:dyDescent="0.3">
      <c r="A33" t="s">
        <v>4</v>
      </c>
      <c r="B33" t="s">
        <v>3</v>
      </c>
      <c r="C33">
        <v>0</v>
      </c>
      <c r="D33">
        <v>2</v>
      </c>
      <c r="E33" s="24">
        <v>50569781200</v>
      </c>
      <c r="F33">
        <f t="shared" si="0"/>
        <v>0.8</v>
      </c>
    </row>
    <row r="34" spans="1:6" x14ac:dyDescent="0.3">
      <c r="A34" t="s">
        <v>4</v>
      </c>
      <c r="B34" t="s">
        <v>3</v>
      </c>
      <c r="C34">
        <v>0</v>
      </c>
      <c r="D34">
        <v>2</v>
      </c>
      <c r="E34" s="24">
        <v>13446274600</v>
      </c>
      <c r="F34">
        <f t="shared" si="0"/>
        <v>0.2</v>
      </c>
    </row>
    <row r="35" spans="1:6" x14ac:dyDescent="0.3">
      <c r="A35" t="s">
        <v>4</v>
      </c>
      <c r="B35" t="s">
        <v>3</v>
      </c>
      <c r="C35">
        <v>0</v>
      </c>
      <c r="D35">
        <v>2</v>
      </c>
      <c r="E35" s="24">
        <v>15402433400</v>
      </c>
      <c r="F35">
        <f t="shared" si="0"/>
        <v>0.3</v>
      </c>
    </row>
    <row r="36" spans="1:6" x14ac:dyDescent="0.3">
      <c r="A36" t="s">
        <v>4</v>
      </c>
      <c r="B36" t="s">
        <v>3</v>
      </c>
      <c r="C36">
        <v>0</v>
      </c>
      <c r="D36">
        <v>2</v>
      </c>
      <c r="E36" s="24">
        <v>61850281300</v>
      </c>
      <c r="F36">
        <f t="shared" si="0"/>
        <v>1</v>
      </c>
    </row>
    <row r="37" spans="1:6" x14ac:dyDescent="0.3">
      <c r="A37" t="s">
        <v>4</v>
      </c>
      <c r="B37" t="s">
        <v>3</v>
      </c>
      <c r="C37">
        <v>0</v>
      </c>
      <c r="D37">
        <v>2</v>
      </c>
      <c r="E37" s="24">
        <v>49838625200</v>
      </c>
      <c r="F37">
        <f t="shared" si="0"/>
        <v>0.8</v>
      </c>
    </row>
    <row r="38" spans="1:6" x14ac:dyDescent="0.3">
      <c r="A38" t="s">
        <v>4</v>
      </c>
      <c r="B38" t="s">
        <v>3</v>
      </c>
      <c r="C38">
        <v>1</v>
      </c>
      <c r="D38">
        <v>2</v>
      </c>
      <c r="E38" s="24">
        <v>31414870195</v>
      </c>
      <c r="F38">
        <f t="shared" si="0"/>
        <v>0.5</v>
      </c>
    </row>
    <row r="39" spans="1:6" x14ac:dyDescent="0.3">
      <c r="A39" t="s">
        <v>4</v>
      </c>
      <c r="B39" t="s">
        <v>3</v>
      </c>
      <c r="C39">
        <v>0</v>
      </c>
      <c r="D39">
        <v>2</v>
      </c>
      <c r="E39" s="24">
        <v>53304387900</v>
      </c>
      <c r="F39">
        <f t="shared" si="0"/>
        <v>0.9</v>
      </c>
    </row>
    <row r="40" spans="1:6" x14ac:dyDescent="0.3">
      <c r="A40" t="s">
        <v>4</v>
      </c>
      <c r="B40" t="s">
        <v>3</v>
      </c>
      <c r="C40">
        <v>0</v>
      </c>
      <c r="D40">
        <v>2</v>
      </c>
      <c r="E40" s="24">
        <v>53803190900</v>
      </c>
      <c r="F40">
        <f t="shared" si="0"/>
        <v>0.9</v>
      </c>
    </row>
    <row r="41" spans="1:6" x14ac:dyDescent="0.3">
      <c r="A41" t="s">
        <v>4</v>
      </c>
      <c r="B41" t="s">
        <v>3</v>
      </c>
      <c r="C41">
        <v>1</v>
      </c>
      <c r="D41">
        <v>2</v>
      </c>
      <c r="E41" s="24">
        <v>121259783500</v>
      </c>
      <c r="F41">
        <f t="shared" si="0"/>
        <v>2</v>
      </c>
    </row>
    <row r="42" spans="1:6" x14ac:dyDescent="0.3">
      <c r="A42" t="s">
        <v>4</v>
      </c>
      <c r="B42" t="s">
        <v>3</v>
      </c>
      <c r="C42">
        <v>0</v>
      </c>
      <c r="D42">
        <v>2</v>
      </c>
      <c r="E42" s="24">
        <v>66903071400</v>
      </c>
      <c r="F42">
        <f t="shared" si="0"/>
        <v>1.1000000000000001</v>
      </c>
    </row>
    <row r="43" spans="1:6" x14ac:dyDescent="0.3">
      <c r="A43" t="s">
        <v>4</v>
      </c>
      <c r="B43" t="s">
        <v>3</v>
      </c>
      <c r="C43">
        <v>0</v>
      </c>
      <c r="D43">
        <v>2</v>
      </c>
      <c r="E43" s="24">
        <v>114844278900</v>
      </c>
      <c r="F43">
        <f t="shared" si="0"/>
        <v>1.9</v>
      </c>
    </row>
    <row r="44" spans="1:6" x14ac:dyDescent="0.3">
      <c r="A44" t="s">
        <v>4</v>
      </c>
      <c r="B44" t="s">
        <v>8</v>
      </c>
      <c r="C44">
        <v>0</v>
      </c>
      <c r="D44">
        <v>2</v>
      </c>
      <c r="E44" s="24">
        <v>1902021055698</v>
      </c>
      <c r="F44">
        <f t="shared" si="0"/>
        <v>31.7</v>
      </c>
    </row>
    <row r="45" spans="1:6" x14ac:dyDescent="0.3">
      <c r="A45" t="s">
        <v>4</v>
      </c>
      <c r="B45" t="s">
        <v>8</v>
      </c>
      <c r="C45">
        <v>1</v>
      </c>
      <c r="D45">
        <v>2</v>
      </c>
      <c r="E45" s="24">
        <v>15517200079700</v>
      </c>
      <c r="F45">
        <f t="shared" si="0"/>
        <v>258.60000000000002</v>
      </c>
    </row>
    <row r="46" spans="1:6" x14ac:dyDescent="0.3">
      <c r="A46" t="s">
        <v>4</v>
      </c>
      <c r="B46" t="s">
        <v>8</v>
      </c>
      <c r="C46">
        <v>0</v>
      </c>
      <c r="D46">
        <v>2</v>
      </c>
      <c r="E46" s="24">
        <v>4248586866300</v>
      </c>
      <c r="F46">
        <f t="shared" si="0"/>
        <v>70.8</v>
      </c>
    </row>
    <row r="47" spans="1:6" x14ac:dyDescent="0.3">
      <c r="A47" t="s">
        <v>4</v>
      </c>
      <c r="B47" t="s">
        <v>7</v>
      </c>
      <c r="C47">
        <v>0</v>
      </c>
      <c r="D47">
        <v>2</v>
      </c>
      <c r="E47" s="24">
        <v>1469661155711</v>
      </c>
      <c r="F47">
        <f t="shared" si="0"/>
        <v>24.5</v>
      </c>
    </row>
    <row r="48" spans="1:6" x14ac:dyDescent="0.3">
      <c r="A48" t="s">
        <v>4</v>
      </c>
      <c r="B48" t="s">
        <v>7</v>
      </c>
      <c r="C48">
        <v>0</v>
      </c>
      <c r="D48">
        <v>2</v>
      </c>
      <c r="E48" s="24">
        <v>3373860446800</v>
      </c>
      <c r="F48">
        <f t="shared" si="0"/>
        <v>56.2</v>
      </c>
    </row>
    <row r="49" spans="1:6" x14ac:dyDescent="0.3">
      <c r="A49" t="s">
        <v>4</v>
      </c>
      <c r="B49" t="s">
        <v>7</v>
      </c>
      <c r="C49">
        <v>0</v>
      </c>
      <c r="D49">
        <v>2</v>
      </c>
      <c r="E49" s="24">
        <v>3666442499700</v>
      </c>
      <c r="F49">
        <f t="shared" si="0"/>
        <v>61.1</v>
      </c>
    </row>
    <row r="50" spans="1:6" x14ac:dyDescent="0.3">
      <c r="A50" t="s">
        <v>4</v>
      </c>
      <c r="B50" t="s">
        <v>7</v>
      </c>
      <c r="C50">
        <v>0</v>
      </c>
      <c r="D50">
        <v>2</v>
      </c>
      <c r="E50" s="24">
        <v>5121588547500</v>
      </c>
      <c r="F50">
        <f t="shared" si="0"/>
        <v>85.4</v>
      </c>
    </row>
    <row r="51" spans="1:6" x14ac:dyDescent="0.3">
      <c r="A51" t="s">
        <v>4</v>
      </c>
      <c r="B51" t="s">
        <v>5</v>
      </c>
      <c r="C51">
        <v>1</v>
      </c>
      <c r="D51">
        <v>2</v>
      </c>
      <c r="E51" s="24">
        <v>123780890800</v>
      </c>
      <c r="F51">
        <f t="shared" si="0"/>
        <v>2.1</v>
      </c>
    </row>
    <row r="52" spans="1:6" x14ac:dyDescent="0.3">
      <c r="A52" t="s">
        <v>4</v>
      </c>
      <c r="B52" t="s">
        <v>5</v>
      </c>
      <c r="C52">
        <v>0</v>
      </c>
      <c r="D52">
        <v>2</v>
      </c>
      <c r="E52" s="24">
        <v>169056542300</v>
      </c>
      <c r="F52">
        <f t="shared" si="0"/>
        <v>2.8</v>
      </c>
    </row>
    <row r="53" spans="1:6" x14ac:dyDescent="0.3">
      <c r="A53" t="s">
        <v>4</v>
      </c>
      <c r="B53" t="s">
        <v>5</v>
      </c>
      <c r="C53">
        <v>0</v>
      </c>
      <c r="D53">
        <v>2</v>
      </c>
      <c r="E53" s="24">
        <v>149357372800</v>
      </c>
      <c r="F53">
        <f t="shared" si="0"/>
        <v>2.5</v>
      </c>
    </row>
    <row r="54" spans="1:6" x14ac:dyDescent="0.3">
      <c r="A54" t="s">
        <v>4</v>
      </c>
      <c r="B54" t="s">
        <v>5</v>
      </c>
      <c r="C54">
        <v>0</v>
      </c>
      <c r="D54">
        <v>2</v>
      </c>
      <c r="E54" s="24">
        <v>114289218400</v>
      </c>
      <c r="F54">
        <f t="shared" si="0"/>
        <v>1.9</v>
      </c>
    </row>
    <row r="55" spans="1:6" x14ac:dyDescent="0.3">
      <c r="A55" t="s">
        <v>4</v>
      </c>
      <c r="B55" t="s">
        <v>5</v>
      </c>
      <c r="C55">
        <v>0</v>
      </c>
      <c r="D55">
        <v>2</v>
      </c>
      <c r="E55" s="24">
        <v>105544852500</v>
      </c>
      <c r="F55">
        <f t="shared" si="0"/>
        <v>1.8</v>
      </c>
    </row>
    <row r="56" spans="1:6" x14ac:dyDescent="0.3">
      <c r="A56" t="s">
        <v>4</v>
      </c>
      <c r="B56" t="s">
        <v>5</v>
      </c>
      <c r="C56">
        <v>0</v>
      </c>
      <c r="D56">
        <v>2</v>
      </c>
      <c r="E56" s="24">
        <v>111579082600</v>
      </c>
      <c r="F56">
        <f t="shared" si="0"/>
        <v>1.9</v>
      </c>
    </row>
    <row r="57" spans="1:6" x14ac:dyDescent="0.3">
      <c r="A57" t="s">
        <v>4</v>
      </c>
      <c r="B57" t="s">
        <v>5</v>
      </c>
      <c r="C57">
        <v>1</v>
      </c>
      <c r="D57">
        <v>2</v>
      </c>
      <c r="E57" s="24">
        <v>57854461653</v>
      </c>
      <c r="F57">
        <f t="shared" si="0"/>
        <v>1</v>
      </c>
    </row>
    <row r="58" spans="1:6" x14ac:dyDescent="0.3">
      <c r="A58" t="s">
        <v>4</v>
      </c>
      <c r="B58" t="s">
        <v>5</v>
      </c>
      <c r="C58">
        <v>0</v>
      </c>
      <c r="D58">
        <v>2</v>
      </c>
      <c r="E58" s="24">
        <v>58482861607</v>
      </c>
      <c r="F58">
        <f t="shared" si="0"/>
        <v>1</v>
      </c>
    </row>
    <row r="59" spans="1:6" x14ac:dyDescent="0.3">
      <c r="A59" t="s">
        <v>4</v>
      </c>
      <c r="B59" t="s">
        <v>5</v>
      </c>
      <c r="C59">
        <v>1</v>
      </c>
      <c r="D59">
        <v>2</v>
      </c>
      <c r="E59" s="24">
        <v>39459228820</v>
      </c>
      <c r="F59">
        <f t="shared" si="0"/>
        <v>0.7</v>
      </c>
    </row>
    <row r="60" spans="1:6" x14ac:dyDescent="0.3">
      <c r="A60" t="s">
        <v>4</v>
      </c>
      <c r="B60" t="s">
        <v>5</v>
      </c>
      <c r="C60">
        <v>0</v>
      </c>
      <c r="D60">
        <v>2</v>
      </c>
      <c r="E60" s="24">
        <v>37729349209</v>
      </c>
      <c r="F60">
        <f t="shared" si="0"/>
        <v>0.6</v>
      </c>
    </row>
    <row r="61" spans="1:6" x14ac:dyDescent="0.3">
      <c r="A61" t="s">
        <v>4</v>
      </c>
      <c r="B61" t="s">
        <v>5</v>
      </c>
      <c r="C61">
        <v>0</v>
      </c>
      <c r="D61">
        <v>2</v>
      </c>
      <c r="E61" s="24">
        <v>87289833200</v>
      </c>
      <c r="F61">
        <f t="shared" si="0"/>
        <v>1.5</v>
      </c>
    </row>
    <row r="62" spans="1:6" x14ac:dyDescent="0.3">
      <c r="A62" t="s">
        <v>4</v>
      </c>
      <c r="B62" t="s">
        <v>5</v>
      </c>
      <c r="C62">
        <v>0</v>
      </c>
      <c r="D62">
        <v>2</v>
      </c>
      <c r="E62" s="24">
        <v>161198628900</v>
      </c>
      <c r="F62">
        <f t="shared" si="0"/>
        <v>2.7</v>
      </c>
    </row>
    <row r="63" spans="1:6" x14ac:dyDescent="0.3">
      <c r="A63" t="s">
        <v>4</v>
      </c>
      <c r="B63" t="s">
        <v>5</v>
      </c>
      <c r="C63">
        <v>1</v>
      </c>
      <c r="D63">
        <v>2</v>
      </c>
      <c r="E63" s="24">
        <v>128336003100</v>
      </c>
      <c r="F63">
        <f t="shared" si="0"/>
        <v>2.1</v>
      </c>
    </row>
    <row r="64" spans="1:6" x14ac:dyDescent="0.3">
      <c r="A64" t="s">
        <v>4</v>
      </c>
      <c r="B64" t="s">
        <v>5</v>
      </c>
      <c r="C64">
        <v>1</v>
      </c>
      <c r="D64">
        <v>2</v>
      </c>
      <c r="E64" s="24">
        <v>155983105900</v>
      </c>
      <c r="F64">
        <f t="shared" si="0"/>
        <v>2.6</v>
      </c>
    </row>
    <row r="65" spans="1:6" x14ac:dyDescent="0.3">
      <c r="A65" t="s">
        <v>4</v>
      </c>
      <c r="B65" t="s">
        <v>5</v>
      </c>
      <c r="C65">
        <v>0</v>
      </c>
      <c r="D65">
        <v>2</v>
      </c>
      <c r="E65" s="24">
        <v>40700246500</v>
      </c>
      <c r="F65">
        <f t="shared" si="0"/>
        <v>0.7</v>
      </c>
    </row>
    <row r="66" spans="1:6" x14ac:dyDescent="0.3">
      <c r="A66" t="s">
        <v>4</v>
      </c>
      <c r="B66" t="s">
        <v>5</v>
      </c>
      <c r="C66">
        <v>0</v>
      </c>
      <c r="D66">
        <v>2</v>
      </c>
      <c r="E66" s="24">
        <v>51340921600</v>
      </c>
      <c r="F66">
        <f t="shared" ref="F66:F129" si="1">ROUND(E66/60000000000, 1)</f>
        <v>0.9</v>
      </c>
    </row>
    <row r="67" spans="1:6" x14ac:dyDescent="0.3">
      <c r="A67" t="s">
        <v>4</v>
      </c>
      <c r="B67" t="s">
        <v>5</v>
      </c>
      <c r="C67">
        <v>0</v>
      </c>
      <c r="D67">
        <v>2</v>
      </c>
      <c r="E67" s="24">
        <v>39129827500</v>
      </c>
      <c r="F67">
        <f t="shared" si="1"/>
        <v>0.7</v>
      </c>
    </row>
    <row r="68" spans="1:6" x14ac:dyDescent="0.3">
      <c r="A68" t="s">
        <v>4</v>
      </c>
      <c r="B68" t="s">
        <v>5</v>
      </c>
      <c r="C68">
        <v>1</v>
      </c>
      <c r="D68">
        <v>2</v>
      </c>
      <c r="E68" s="24">
        <v>51229257499</v>
      </c>
      <c r="F68">
        <f t="shared" si="1"/>
        <v>0.9</v>
      </c>
    </row>
    <row r="69" spans="1:6" x14ac:dyDescent="0.3">
      <c r="A69" t="s">
        <v>4</v>
      </c>
      <c r="B69" t="s">
        <v>5</v>
      </c>
      <c r="C69">
        <v>0</v>
      </c>
      <c r="D69">
        <v>2</v>
      </c>
      <c r="E69" s="24">
        <v>39001102200</v>
      </c>
      <c r="F69">
        <f t="shared" si="1"/>
        <v>0.7</v>
      </c>
    </row>
    <row r="70" spans="1:6" x14ac:dyDescent="0.3">
      <c r="A70" t="s">
        <v>4</v>
      </c>
      <c r="B70" t="s">
        <v>5</v>
      </c>
      <c r="C70">
        <v>0</v>
      </c>
      <c r="D70">
        <v>2</v>
      </c>
      <c r="E70" s="24">
        <v>49147964200</v>
      </c>
      <c r="F70">
        <f t="shared" si="1"/>
        <v>0.8</v>
      </c>
    </row>
    <row r="71" spans="1:6" x14ac:dyDescent="0.3">
      <c r="A71" t="s">
        <v>4</v>
      </c>
      <c r="B71" t="s">
        <v>5</v>
      </c>
      <c r="C71">
        <v>0</v>
      </c>
      <c r="D71">
        <v>2</v>
      </c>
      <c r="E71" s="24">
        <v>45031294500</v>
      </c>
      <c r="F71">
        <f t="shared" si="1"/>
        <v>0.8</v>
      </c>
    </row>
    <row r="72" spans="1:6" x14ac:dyDescent="0.3">
      <c r="A72" t="s">
        <v>4</v>
      </c>
      <c r="B72" t="s">
        <v>5</v>
      </c>
      <c r="C72">
        <v>0</v>
      </c>
      <c r="D72">
        <v>2</v>
      </c>
      <c r="E72" s="24">
        <v>45103998400</v>
      </c>
      <c r="F72">
        <f t="shared" si="1"/>
        <v>0.8</v>
      </c>
    </row>
    <row r="73" spans="1:6" x14ac:dyDescent="0.3">
      <c r="A73" t="s">
        <v>4</v>
      </c>
      <c r="B73" t="s">
        <v>5</v>
      </c>
      <c r="C73">
        <v>0</v>
      </c>
      <c r="D73">
        <v>2</v>
      </c>
      <c r="E73" s="24">
        <v>50479008800</v>
      </c>
      <c r="F73">
        <f t="shared" si="1"/>
        <v>0.8</v>
      </c>
    </row>
    <row r="74" spans="1:6" x14ac:dyDescent="0.3">
      <c r="A74" t="s">
        <v>4</v>
      </c>
      <c r="B74" t="s">
        <v>5</v>
      </c>
      <c r="C74">
        <v>0</v>
      </c>
      <c r="D74">
        <v>2</v>
      </c>
      <c r="E74" s="24">
        <v>43837870600</v>
      </c>
      <c r="F74">
        <f t="shared" si="1"/>
        <v>0.7</v>
      </c>
    </row>
    <row r="75" spans="1:6" x14ac:dyDescent="0.3">
      <c r="A75" t="s">
        <v>4</v>
      </c>
      <c r="B75" t="s">
        <v>5</v>
      </c>
      <c r="C75">
        <v>1</v>
      </c>
      <c r="D75">
        <v>2</v>
      </c>
      <c r="E75" s="24">
        <v>52872874800</v>
      </c>
      <c r="F75">
        <f t="shared" si="1"/>
        <v>0.9</v>
      </c>
    </row>
    <row r="76" spans="1:6" x14ac:dyDescent="0.3">
      <c r="A76" t="s">
        <v>4</v>
      </c>
      <c r="B76" t="s">
        <v>5</v>
      </c>
      <c r="C76">
        <v>0</v>
      </c>
      <c r="D76">
        <v>2</v>
      </c>
      <c r="E76" s="24">
        <v>93940746600</v>
      </c>
      <c r="F76">
        <f t="shared" si="1"/>
        <v>1.6</v>
      </c>
    </row>
    <row r="77" spans="1:6" x14ac:dyDescent="0.3">
      <c r="A77" t="s">
        <v>4</v>
      </c>
      <c r="B77" t="s">
        <v>5</v>
      </c>
      <c r="C77">
        <v>0</v>
      </c>
      <c r="D77">
        <v>2</v>
      </c>
      <c r="E77" s="24">
        <v>147866289100</v>
      </c>
      <c r="F77">
        <f t="shared" si="1"/>
        <v>2.5</v>
      </c>
    </row>
    <row r="78" spans="1:6" x14ac:dyDescent="0.3">
      <c r="A78" t="s">
        <v>4</v>
      </c>
      <c r="B78" t="s">
        <v>5</v>
      </c>
      <c r="C78">
        <v>1</v>
      </c>
      <c r="D78">
        <v>2</v>
      </c>
      <c r="E78" s="24">
        <v>44967562672</v>
      </c>
      <c r="F78">
        <f t="shared" si="1"/>
        <v>0.7</v>
      </c>
    </row>
    <row r="79" spans="1:6" x14ac:dyDescent="0.3">
      <c r="A79" t="s">
        <v>4</v>
      </c>
      <c r="B79" t="s">
        <v>5</v>
      </c>
      <c r="C79">
        <v>0</v>
      </c>
      <c r="D79">
        <v>2</v>
      </c>
      <c r="E79" s="24">
        <v>111899591700</v>
      </c>
      <c r="F79">
        <f t="shared" si="1"/>
        <v>1.9</v>
      </c>
    </row>
    <row r="80" spans="1:6" x14ac:dyDescent="0.3">
      <c r="A80" t="s">
        <v>4</v>
      </c>
      <c r="B80" t="s">
        <v>5</v>
      </c>
      <c r="C80">
        <v>0</v>
      </c>
      <c r="D80">
        <v>2</v>
      </c>
      <c r="E80" s="24">
        <v>132503953100</v>
      </c>
      <c r="F80">
        <f t="shared" si="1"/>
        <v>2.2000000000000002</v>
      </c>
    </row>
    <row r="81" spans="1:6" x14ac:dyDescent="0.3">
      <c r="A81" t="s">
        <v>4</v>
      </c>
      <c r="B81" t="s">
        <v>5</v>
      </c>
      <c r="C81">
        <v>0</v>
      </c>
      <c r="D81">
        <v>2</v>
      </c>
      <c r="E81" s="24">
        <v>136569501000</v>
      </c>
      <c r="F81">
        <f t="shared" si="1"/>
        <v>2.2999999999999998</v>
      </c>
    </row>
    <row r="82" spans="1:6" x14ac:dyDescent="0.3">
      <c r="A82" t="s">
        <v>4</v>
      </c>
      <c r="B82" t="s">
        <v>5</v>
      </c>
      <c r="C82">
        <v>0</v>
      </c>
      <c r="D82">
        <v>2</v>
      </c>
      <c r="E82" s="24">
        <v>139616458600</v>
      </c>
      <c r="F82">
        <f t="shared" si="1"/>
        <v>2.2999999999999998</v>
      </c>
    </row>
    <row r="83" spans="1:6" x14ac:dyDescent="0.3">
      <c r="A83" t="s">
        <v>4</v>
      </c>
      <c r="B83" t="s">
        <v>5</v>
      </c>
      <c r="C83">
        <v>0</v>
      </c>
      <c r="D83">
        <v>2</v>
      </c>
      <c r="E83" s="24">
        <v>200080197100</v>
      </c>
      <c r="F83">
        <f t="shared" si="1"/>
        <v>3.3</v>
      </c>
    </row>
    <row r="84" spans="1:6" x14ac:dyDescent="0.3">
      <c r="A84" t="s">
        <v>4</v>
      </c>
      <c r="B84" t="s">
        <v>1</v>
      </c>
      <c r="C84">
        <v>0</v>
      </c>
      <c r="D84">
        <v>2</v>
      </c>
      <c r="E84" s="24">
        <v>84820541901</v>
      </c>
      <c r="F84">
        <f t="shared" si="1"/>
        <v>1.4</v>
      </c>
    </row>
    <row r="85" spans="1:6" x14ac:dyDescent="0.3">
      <c r="A85" t="s">
        <v>4</v>
      </c>
      <c r="B85" t="s">
        <v>1</v>
      </c>
      <c r="C85">
        <v>0</v>
      </c>
      <c r="D85">
        <v>2</v>
      </c>
      <c r="E85" s="24">
        <v>75999611300</v>
      </c>
      <c r="F85">
        <f t="shared" si="1"/>
        <v>1.3</v>
      </c>
    </row>
    <row r="86" spans="1:6" x14ac:dyDescent="0.3">
      <c r="A86" t="s">
        <v>4</v>
      </c>
      <c r="B86" t="s">
        <v>1</v>
      </c>
      <c r="C86">
        <v>1</v>
      </c>
      <c r="D86">
        <v>2</v>
      </c>
      <c r="E86" s="24">
        <v>339562421300</v>
      </c>
      <c r="F86">
        <f t="shared" si="1"/>
        <v>5.7</v>
      </c>
    </row>
    <row r="87" spans="1:6" x14ac:dyDescent="0.3">
      <c r="A87" t="s">
        <v>4</v>
      </c>
      <c r="B87" t="s">
        <v>1</v>
      </c>
      <c r="C87">
        <v>1</v>
      </c>
      <c r="D87">
        <v>2</v>
      </c>
      <c r="E87" s="24">
        <v>306667976199</v>
      </c>
      <c r="F87">
        <f t="shared" si="1"/>
        <v>5.0999999999999996</v>
      </c>
    </row>
    <row r="88" spans="1:6" x14ac:dyDescent="0.3">
      <c r="A88" t="s">
        <v>4</v>
      </c>
      <c r="B88" t="s">
        <v>1</v>
      </c>
      <c r="C88">
        <v>0</v>
      </c>
      <c r="D88">
        <v>2</v>
      </c>
      <c r="E88" s="24">
        <v>46983435100</v>
      </c>
      <c r="F88">
        <f t="shared" si="1"/>
        <v>0.8</v>
      </c>
    </row>
    <row r="89" spans="1:6" x14ac:dyDescent="0.3">
      <c r="A89" t="s">
        <v>4</v>
      </c>
      <c r="B89" t="s">
        <v>1</v>
      </c>
      <c r="C89">
        <v>1</v>
      </c>
      <c r="D89">
        <v>2</v>
      </c>
      <c r="E89" s="24">
        <v>173589219000</v>
      </c>
      <c r="F89">
        <f t="shared" si="1"/>
        <v>2.9</v>
      </c>
    </row>
    <row r="90" spans="1:6" x14ac:dyDescent="0.3">
      <c r="A90" t="s">
        <v>4</v>
      </c>
      <c r="B90" t="s">
        <v>1</v>
      </c>
      <c r="C90">
        <v>1</v>
      </c>
      <c r="D90">
        <v>2</v>
      </c>
      <c r="E90" s="24">
        <v>147196253400</v>
      </c>
      <c r="F90">
        <f t="shared" si="1"/>
        <v>2.5</v>
      </c>
    </row>
    <row r="91" spans="1:6" x14ac:dyDescent="0.3">
      <c r="A91" t="s">
        <v>4</v>
      </c>
      <c r="B91" t="s">
        <v>1</v>
      </c>
      <c r="C91">
        <v>0</v>
      </c>
      <c r="D91">
        <v>2</v>
      </c>
      <c r="E91" s="24">
        <v>33286959335</v>
      </c>
      <c r="F91">
        <f t="shared" si="1"/>
        <v>0.6</v>
      </c>
    </row>
    <row r="92" spans="1:6" x14ac:dyDescent="0.3">
      <c r="A92" t="s">
        <v>4</v>
      </c>
      <c r="B92" t="s">
        <v>1</v>
      </c>
      <c r="C92">
        <v>0</v>
      </c>
      <c r="D92">
        <v>2</v>
      </c>
      <c r="E92" s="24">
        <v>32175422218</v>
      </c>
      <c r="F92">
        <f t="shared" si="1"/>
        <v>0.5</v>
      </c>
    </row>
    <row r="93" spans="1:6" x14ac:dyDescent="0.3">
      <c r="A93" t="s">
        <v>4</v>
      </c>
      <c r="B93" t="s">
        <v>1</v>
      </c>
      <c r="C93">
        <v>1</v>
      </c>
      <c r="D93">
        <v>2</v>
      </c>
      <c r="E93" s="24">
        <v>37496887115</v>
      </c>
      <c r="F93">
        <f t="shared" si="1"/>
        <v>0.6</v>
      </c>
    </row>
    <row r="94" spans="1:6" x14ac:dyDescent="0.3">
      <c r="A94" t="s">
        <v>4</v>
      </c>
      <c r="B94" t="s">
        <v>1</v>
      </c>
      <c r="C94">
        <v>1</v>
      </c>
      <c r="D94">
        <v>2</v>
      </c>
      <c r="E94" s="24">
        <v>183173497800</v>
      </c>
      <c r="F94">
        <f t="shared" si="1"/>
        <v>3.1</v>
      </c>
    </row>
    <row r="95" spans="1:6" x14ac:dyDescent="0.3">
      <c r="A95" t="s">
        <v>4</v>
      </c>
      <c r="B95" t="s">
        <v>1</v>
      </c>
      <c r="C95">
        <v>1</v>
      </c>
      <c r="D95">
        <v>2</v>
      </c>
      <c r="E95" s="24">
        <v>40627806500</v>
      </c>
      <c r="F95">
        <f t="shared" si="1"/>
        <v>0.7</v>
      </c>
    </row>
    <row r="96" spans="1:6" x14ac:dyDescent="0.3">
      <c r="A96" t="s">
        <v>4</v>
      </c>
      <c r="B96" t="s">
        <v>1</v>
      </c>
      <c r="C96">
        <v>0</v>
      </c>
      <c r="D96">
        <v>2</v>
      </c>
      <c r="E96" s="24">
        <v>17113819400</v>
      </c>
      <c r="F96">
        <f t="shared" si="1"/>
        <v>0.3</v>
      </c>
    </row>
    <row r="97" spans="1:6" x14ac:dyDescent="0.3">
      <c r="A97" t="s">
        <v>4</v>
      </c>
      <c r="B97" t="s">
        <v>1</v>
      </c>
      <c r="C97">
        <v>0</v>
      </c>
      <c r="D97">
        <v>2</v>
      </c>
      <c r="E97" s="24">
        <v>69223260600</v>
      </c>
      <c r="F97">
        <f t="shared" si="1"/>
        <v>1.2</v>
      </c>
    </row>
    <row r="98" spans="1:6" x14ac:dyDescent="0.3">
      <c r="A98" t="s">
        <v>4</v>
      </c>
      <c r="B98" t="s">
        <v>1</v>
      </c>
      <c r="C98">
        <v>0</v>
      </c>
      <c r="D98">
        <v>2</v>
      </c>
      <c r="E98" s="24">
        <v>53198071100</v>
      </c>
      <c r="F98">
        <f t="shared" si="1"/>
        <v>0.9</v>
      </c>
    </row>
    <row r="99" spans="1:6" x14ac:dyDescent="0.3">
      <c r="A99" t="s">
        <v>4</v>
      </c>
      <c r="B99" t="s">
        <v>1</v>
      </c>
      <c r="C99">
        <v>0</v>
      </c>
      <c r="D99">
        <v>2</v>
      </c>
      <c r="E99" s="24">
        <v>14477763724</v>
      </c>
      <c r="F99">
        <f t="shared" si="1"/>
        <v>0.2</v>
      </c>
    </row>
    <row r="100" spans="1:6" x14ac:dyDescent="0.3">
      <c r="A100" t="s">
        <v>4</v>
      </c>
      <c r="B100" t="s">
        <v>1</v>
      </c>
      <c r="C100">
        <v>1</v>
      </c>
      <c r="D100">
        <v>2</v>
      </c>
      <c r="E100" s="24">
        <v>169394398700</v>
      </c>
      <c r="F100">
        <f t="shared" si="1"/>
        <v>2.8</v>
      </c>
    </row>
    <row r="101" spans="1:6" x14ac:dyDescent="0.3">
      <c r="A101" t="s">
        <v>4</v>
      </c>
      <c r="B101" t="s">
        <v>1</v>
      </c>
      <c r="C101">
        <v>1</v>
      </c>
      <c r="D101">
        <v>2</v>
      </c>
      <c r="E101" s="24">
        <v>182587152400</v>
      </c>
      <c r="F101">
        <f t="shared" si="1"/>
        <v>3</v>
      </c>
    </row>
    <row r="102" spans="1:6" x14ac:dyDescent="0.3">
      <c r="A102" t="s">
        <v>4</v>
      </c>
      <c r="B102" t="s">
        <v>1</v>
      </c>
      <c r="C102">
        <v>0</v>
      </c>
      <c r="D102">
        <v>2</v>
      </c>
      <c r="E102" s="24">
        <v>77097633100</v>
      </c>
      <c r="F102">
        <f t="shared" si="1"/>
        <v>1.3</v>
      </c>
    </row>
    <row r="103" spans="1:6" x14ac:dyDescent="0.3">
      <c r="A103" t="s">
        <v>4</v>
      </c>
      <c r="B103" t="s">
        <v>1</v>
      </c>
      <c r="C103">
        <v>1</v>
      </c>
      <c r="D103">
        <v>2</v>
      </c>
      <c r="E103" s="24">
        <v>246113095400</v>
      </c>
      <c r="F103">
        <f t="shared" si="1"/>
        <v>4.0999999999999996</v>
      </c>
    </row>
    <row r="104" spans="1:6" x14ac:dyDescent="0.3">
      <c r="A104" t="s">
        <v>4</v>
      </c>
      <c r="B104" t="s">
        <v>1</v>
      </c>
      <c r="C104">
        <v>1</v>
      </c>
      <c r="D104">
        <v>2</v>
      </c>
      <c r="E104" s="24">
        <v>280934911300</v>
      </c>
      <c r="F104">
        <f t="shared" si="1"/>
        <v>4.7</v>
      </c>
    </row>
    <row r="105" spans="1:6" x14ac:dyDescent="0.3">
      <c r="A105" t="s">
        <v>4</v>
      </c>
      <c r="B105" t="s">
        <v>2</v>
      </c>
      <c r="C105">
        <v>1</v>
      </c>
      <c r="D105">
        <v>2</v>
      </c>
      <c r="E105" s="24">
        <v>105351359900</v>
      </c>
      <c r="F105">
        <f t="shared" si="1"/>
        <v>1.8</v>
      </c>
    </row>
    <row r="106" spans="1:6" x14ac:dyDescent="0.3">
      <c r="A106" t="s">
        <v>4</v>
      </c>
      <c r="B106" t="s">
        <v>2</v>
      </c>
      <c r="C106">
        <v>1</v>
      </c>
      <c r="D106">
        <v>2</v>
      </c>
      <c r="E106" s="24">
        <v>186784206900</v>
      </c>
      <c r="F106">
        <f t="shared" si="1"/>
        <v>3.1</v>
      </c>
    </row>
    <row r="107" spans="1:6" x14ac:dyDescent="0.3">
      <c r="A107" t="s">
        <v>4</v>
      </c>
      <c r="B107" t="s">
        <v>2</v>
      </c>
      <c r="C107">
        <v>1</v>
      </c>
      <c r="D107">
        <v>2</v>
      </c>
      <c r="E107" s="24">
        <v>86479305400</v>
      </c>
      <c r="F107">
        <f t="shared" si="1"/>
        <v>1.4</v>
      </c>
    </row>
    <row r="108" spans="1:6" x14ac:dyDescent="0.3">
      <c r="A108" t="s">
        <v>4</v>
      </c>
      <c r="B108" t="s">
        <v>2</v>
      </c>
      <c r="C108">
        <v>0</v>
      </c>
      <c r="D108">
        <v>2</v>
      </c>
      <c r="E108" s="24">
        <v>71290994500</v>
      </c>
      <c r="F108">
        <f t="shared" si="1"/>
        <v>1.2</v>
      </c>
    </row>
    <row r="109" spans="1:6" x14ac:dyDescent="0.3">
      <c r="A109" t="s">
        <v>4</v>
      </c>
      <c r="B109" t="s">
        <v>2</v>
      </c>
      <c r="C109">
        <v>1</v>
      </c>
      <c r="D109">
        <v>2</v>
      </c>
      <c r="E109" s="24">
        <v>61296231100</v>
      </c>
      <c r="F109">
        <f t="shared" si="1"/>
        <v>1</v>
      </c>
    </row>
    <row r="110" spans="1:6" x14ac:dyDescent="0.3">
      <c r="A110" t="s">
        <v>4</v>
      </c>
      <c r="B110" t="s">
        <v>2</v>
      </c>
      <c r="C110">
        <v>1</v>
      </c>
      <c r="D110">
        <v>2</v>
      </c>
      <c r="E110" s="24">
        <v>52088800700</v>
      </c>
      <c r="F110">
        <f t="shared" si="1"/>
        <v>0.9</v>
      </c>
    </row>
    <row r="111" spans="1:6" x14ac:dyDescent="0.3">
      <c r="A111" t="s">
        <v>4</v>
      </c>
      <c r="B111" t="s">
        <v>2</v>
      </c>
      <c r="C111">
        <v>1</v>
      </c>
      <c r="D111">
        <v>2</v>
      </c>
      <c r="E111" s="24">
        <v>68387772500</v>
      </c>
      <c r="F111">
        <f t="shared" si="1"/>
        <v>1.1000000000000001</v>
      </c>
    </row>
    <row r="112" spans="1:6" x14ac:dyDescent="0.3">
      <c r="A112" t="s">
        <v>4</v>
      </c>
      <c r="B112" t="s">
        <v>2</v>
      </c>
      <c r="C112">
        <v>1</v>
      </c>
      <c r="D112">
        <v>2</v>
      </c>
      <c r="E112" s="24">
        <v>64519277800</v>
      </c>
      <c r="F112">
        <f t="shared" si="1"/>
        <v>1.1000000000000001</v>
      </c>
    </row>
    <row r="113" spans="1:6" x14ac:dyDescent="0.3">
      <c r="A113" t="s">
        <v>4</v>
      </c>
      <c r="B113" t="s">
        <v>2</v>
      </c>
      <c r="C113">
        <v>1</v>
      </c>
      <c r="D113">
        <v>2</v>
      </c>
      <c r="E113" s="24">
        <v>19814321942</v>
      </c>
      <c r="F113">
        <f t="shared" si="1"/>
        <v>0.3</v>
      </c>
    </row>
    <row r="114" spans="1:6" x14ac:dyDescent="0.3">
      <c r="A114" t="s">
        <v>4</v>
      </c>
      <c r="B114" t="s">
        <v>2</v>
      </c>
      <c r="C114">
        <v>1</v>
      </c>
      <c r="D114">
        <v>2</v>
      </c>
      <c r="E114" s="24">
        <v>18573275991</v>
      </c>
      <c r="F114">
        <f t="shared" si="1"/>
        <v>0.3</v>
      </c>
    </row>
    <row r="115" spans="1:6" x14ac:dyDescent="0.3">
      <c r="A115" t="s">
        <v>4</v>
      </c>
      <c r="B115" t="s">
        <v>2</v>
      </c>
      <c r="C115">
        <v>1</v>
      </c>
      <c r="D115">
        <v>2</v>
      </c>
      <c r="E115" s="24">
        <v>14943522929</v>
      </c>
      <c r="F115">
        <f t="shared" si="1"/>
        <v>0.2</v>
      </c>
    </row>
    <row r="116" spans="1:6" x14ac:dyDescent="0.3">
      <c r="A116" t="s">
        <v>4</v>
      </c>
      <c r="B116" t="s">
        <v>2</v>
      </c>
      <c r="C116">
        <v>1</v>
      </c>
      <c r="D116">
        <v>2</v>
      </c>
      <c r="E116" s="24">
        <v>42906083300</v>
      </c>
      <c r="F116">
        <f t="shared" si="1"/>
        <v>0.7</v>
      </c>
    </row>
    <row r="117" spans="1:6" x14ac:dyDescent="0.3">
      <c r="A117" t="s">
        <v>4</v>
      </c>
      <c r="B117" t="s">
        <v>2</v>
      </c>
      <c r="C117">
        <v>1</v>
      </c>
      <c r="D117">
        <v>2</v>
      </c>
      <c r="E117" s="24">
        <v>89487187900</v>
      </c>
      <c r="F117">
        <f t="shared" si="1"/>
        <v>1.5</v>
      </c>
    </row>
    <row r="118" spans="1:6" x14ac:dyDescent="0.3">
      <c r="A118" t="s">
        <v>4</v>
      </c>
      <c r="B118" t="s">
        <v>2</v>
      </c>
      <c r="C118">
        <v>1</v>
      </c>
      <c r="D118">
        <v>2</v>
      </c>
      <c r="E118" s="24">
        <v>19545187200</v>
      </c>
      <c r="F118">
        <f t="shared" si="1"/>
        <v>0.3</v>
      </c>
    </row>
    <row r="119" spans="1:6" x14ac:dyDescent="0.3">
      <c r="A119" t="s">
        <v>4</v>
      </c>
      <c r="B119" t="s">
        <v>2</v>
      </c>
      <c r="C119">
        <v>1</v>
      </c>
      <c r="D119">
        <v>2</v>
      </c>
      <c r="E119" s="24">
        <v>15955517000</v>
      </c>
      <c r="F119">
        <f t="shared" si="1"/>
        <v>0.3</v>
      </c>
    </row>
    <row r="120" spans="1:6" x14ac:dyDescent="0.3">
      <c r="A120" t="s">
        <v>4</v>
      </c>
      <c r="B120" t="s">
        <v>2</v>
      </c>
      <c r="C120">
        <v>1</v>
      </c>
      <c r="D120">
        <v>2</v>
      </c>
      <c r="E120" s="24">
        <v>72527845400</v>
      </c>
      <c r="F120">
        <f t="shared" si="1"/>
        <v>1.2</v>
      </c>
    </row>
    <row r="121" spans="1:6" x14ac:dyDescent="0.3">
      <c r="A121" t="s">
        <v>4</v>
      </c>
      <c r="B121" t="s">
        <v>2</v>
      </c>
      <c r="C121">
        <v>1</v>
      </c>
      <c r="D121">
        <v>2</v>
      </c>
      <c r="E121" s="24">
        <v>51714354400</v>
      </c>
      <c r="F121">
        <f t="shared" si="1"/>
        <v>0.9</v>
      </c>
    </row>
    <row r="122" spans="1:6" x14ac:dyDescent="0.3">
      <c r="A122" t="s">
        <v>4</v>
      </c>
      <c r="B122" t="s">
        <v>2</v>
      </c>
      <c r="C122">
        <v>0</v>
      </c>
      <c r="D122">
        <v>2</v>
      </c>
      <c r="E122" s="24">
        <v>13138449517</v>
      </c>
      <c r="F122">
        <f t="shared" si="1"/>
        <v>0.2</v>
      </c>
    </row>
    <row r="123" spans="1:6" x14ac:dyDescent="0.3">
      <c r="A123" t="s">
        <v>4</v>
      </c>
      <c r="B123" t="s">
        <v>2</v>
      </c>
      <c r="C123">
        <v>0</v>
      </c>
      <c r="D123">
        <v>2</v>
      </c>
      <c r="E123" s="24">
        <v>94872103400</v>
      </c>
      <c r="F123">
        <f t="shared" si="1"/>
        <v>1.6</v>
      </c>
    </row>
    <row r="124" spans="1:6" x14ac:dyDescent="0.3">
      <c r="A124" t="s">
        <v>4</v>
      </c>
      <c r="B124" t="s">
        <v>2</v>
      </c>
      <c r="C124">
        <v>1</v>
      </c>
      <c r="D124">
        <v>2</v>
      </c>
      <c r="E124" s="24">
        <v>78965852500</v>
      </c>
      <c r="F124">
        <f t="shared" si="1"/>
        <v>1.3</v>
      </c>
    </row>
    <row r="125" spans="1:6" x14ac:dyDescent="0.3">
      <c r="A125" t="s">
        <v>4</v>
      </c>
      <c r="B125" t="s">
        <v>2</v>
      </c>
      <c r="C125">
        <v>0</v>
      </c>
      <c r="D125">
        <v>2</v>
      </c>
      <c r="E125" s="24">
        <v>102271173600</v>
      </c>
      <c r="F125">
        <f t="shared" si="1"/>
        <v>1.7</v>
      </c>
    </row>
    <row r="126" spans="1:6" x14ac:dyDescent="0.3">
      <c r="A126" t="s">
        <v>4</v>
      </c>
      <c r="B126" t="s">
        <v>2</v>
      </c>
      <c r="C126">
        <v>0</v>
      </c>
      <c r="D126">
        <v>2</v>
      </c>
      <c r="E126" s="24">
        <v>117566146500</v>
      </c>
      <c r="F126">
        <f t="shared" si="1"/>
        <v>2</v>
      </c>
    </row>
    <row r="127" spans="1:6" x14ac:dyDescent="0.3">
      <c r="A127" t="s">
        <v>4</v>
      </c>
      <c r="B127" t="s">
        <v>2</v>
      </c>
      <c r="C127">
        <v>0</v>
      </c>
      <c r="D127">
        <v>2</v>
      </c>
      <c r="E127" s="24">
        <v>175972529100</v>
      </c>
      <c r="F127">
        <f t="shared" si="1"/>
        <v>2.9</v>
      </c>
    </row>
    <row r="128" spans="1:6" x14ac:dyDescent="0.3">
      <c r="A128" t="s">
        <v>4</v>
      </c>
      <c r="B128" t="s">
        <v>10</v>
      </c>
      <c r="C128">
        <v>0</v>
      </c>
      <c r="D128">
        <v>2</v>
      </c>
      <c r="E128" s="24">
        <v>81126528301</v>
      </c>
      <c r="F128">
        <f t="shared" si="1"/>
        <v>1.4</v>
      </c>
    </row>
    <row r="129" spans="1:6" x14ac:dyDescent="0.3">
      <c r="A129" t="s">
        <v>4</v>
      </c>
      <c r="B129" t="s">
        <v>10</v>
      </c>
      <c r="C129">
        <v>1</v>
      </c>
      <c r="D129">
        <v>2</v>
      </c>
      <c r="E129" s="24">
        <v>70054069199</v>
      </c>
      <c r="F129">
        <f t="shared" si="1"/>
        <v>1.2</v>
      </c>
    </row>
    <row r="130" spans="1:6" x14ac:dyDescent="0.3">
      <c r="A130" t="s">
        <v>4</v>
      </c>
      <c r="B130" t="s">
        <v>10</v>
      </c>
      <c r="C130">
        <v>1</v>
      </c>
      <c r="D130">
        <v>2</v>
      </c>
      <c r="E130" s="24">
        <v>119259749100</v>
      </c>
      <c r="F130">
        <f t="shared" ref="F130:F193" si="2">ROUND(E130/60000000000, 1)</f>
        <v>2</v>
      </c>
    </row>
    <row r="131" spans="1:6" x14ac:dyDescent="0.3">
      <c r="A131" t="s">
        <v>4</v>
      </c>
      <c r="B131" t="s">
        <v>10</v>
      </c>
      <c r="C131">
        <v>0</v>
      </c>
      <c r="D131">
        <v>2</v>
      </c>
      <c r="E131" s="24">
        <v>89801586201</v>
      </c>
      <c r="F131">
        <f t="shared" si="2"/>
        <v>1.5</v>
      </c>
    </row>
    <row r="132" spans="1:6" x14ac:dyDescent="0.3">
      <c r="A132" t="s">
        <v>4</v>
      </c>
      <c r="B132" t="s">
        <v>10</v>
      </c>
      <c r="C132">
        <v>0</v>
      </c>
      <c r="D132">
        <v>2</v>
      </c>
      <c r="E132" s="24">
        <v>61115424601</v>
      </c>
      <c r="F132">
        <f t="shared" si="2"/>
        <v>1</v>
      </c>
    </row>
    <row r="133" spans="1:6" x14ac:dyDescent="0.3">
      <c r="A133" t="s">
        <v>4</v>
      </c>
      <c r="B133" t="s">
        <v>10</v>
      </c>
      <c r="C133">
        <v>1</v>
      </c>
      <c r="D133">
        <v>2</v>
      </c>
      <c r="E133" s="24">
        <v>71968857800</v>
      </c>
      <c r="F133">
        <f t="shared" si="2"/>
        <v>1.2</v>
      </c>
    </row>
    <row r="134" spans="1:6" x14ac:dyDescent="0.3">
      <c r="A134" t="s">
        <v>4</v>
      </c>
      <c r="B134" t="s">
        <v>10</v>
      </c>
      <c r="C134">
        <v>1</v>
      </c>
      <c r="D134">
        <v>2</v>
      </c>
      <c r="E134" s="24">
        <v>47455693200</v>
      </c>
      <c r="F134">
        <f t="shared" si="2"/>
        <v>0.8</v>
      </c>
    </row>
    <row r="135" spans="1:6" x14ac:dyDescent="0.3">
      <c r="A135" t="s">
        <v>4</v>
      </c>
      <c r="B135" t="s">
        <v>10</v>
      </c>
      <c r="C135">
        <v>0</v>
      </c>
      <c r="D135">
        <v>2</v>
      </c>
      <c r="E135" s="24">
        <v>59167838800</v>
      </c>
      <c r="F135">
        <f t="shared" si="2"/>
        <v>1</v>
      </c>
    </row>
    <row r="136" spans="1:6" x14ac:dyDescent="0.3">
      <c r="A136" t="s">
        <v>4</v>
      </c>
      <c r="B136" t="s">
        <v>10</v>
      </c>
      <c r="C136">
        <v>0</v>
      </c>
      <c r="D136">
        <v>2</v>
      </c>
      <c r="E136" s="24">
        <v>29419818202</v>
      </c>
      <c r="F136">
        <f t="shared" si="2"/>
        <v>0.5</v>
      </c>
    </row>
    <row r="137" spans="1:6" x14ac:dyDescent="0.3">
      <c r="A137" t="s">
        <v>4</v>
      </c>
      <c r="B137" t="s">
        <v>10</v>
      </c>
      <c r="C137">
        <v>0</v>
      </c>
      <c r="D137">
        <v>2</v>
      </c>
      <c r="E137" s="24">
        <v>21832738627</v>
      </c>
      <c r="F137">
        <f t="shared" si="2"/>
        <v>0.4</v>
      </c>
    </row>
    <row r="138" spans="1:6" x14ac:dyDescent="0.3">
      <c r="A138" t="s">
        <v>4</v>
      </c>
      <c r="B138" t="s">
        <v>10</v>
      </c>
      <c r="C138">
        <v>1</v>
      </c>
      <c r="D138">
        <v>2</v>
      </c>
      <c r="E138" s="24">
        <v>13195138956</v>
      </c>
      <c r="F138">
        <f t="shared" si="2"/>
        <v>0.2</v>
      </c>
    </row>
    <row r="139" spans="1:6" x14ac:dyDescent="0.3">
      <c r="A139" t="s">
        <v>4</v>
      </c>
      <c r="B139" t="s">
        <v>10</v>
      </c>
      <c r="C139">
        <v>1</v>
      </c>
      <c r="D139">
        <v>2</v>
      </c>
      <c r="E139" s="24">
        <v>49398520700</v>
      </c>
      <c r="F139">
        <f t="shared" si="2"/>
        <v>0.8</v>
      </c>
    </row>
    <row r="140" spans="1:6" x14ac:dyDescent="0.3">
      <c r="A140" t="s">
        <v>4</v>
      </c>
      <c r="B140" t="s">
        <v>10</v>
      </c>
      <c r="C140">
        <v>1</v>
      </c>
      <c r="D140">
        <v>2</v>
      </c>
      <c r="E140" s="24">
        <v>77373000400</v>
      </c>
      <c r="F140">
        <f t="shared" si="2"/>
        <v>1.3</v>
      </c>
    </row>
    <row r="141" spans="1:6" x14ac:dyDescent="0.3">
      <c r="A141" t="s">
        <v>4</v>
      </c>
      <c r="B141" t="s">
        <v>10</v>
      </c>
      <c r="C141">
        <v>1</v>
      </c>
      <c r="D141">
        <v>2</v>
      </c>
      <c r="E141" s="24">
        <v>71944538000</v>
      </c>
      <c r="F141">
        <f t="shared" si="2"/>
        <v>1.2</v>
      </c>
    </row>
    <row r="142" spans="1:6" x14ac:dyDescent="0.3">
      <c r="A142" t="s">
        <v>4</v>
      </c>
      <c r="B142" t="s">
        <v>10</v>
      </c>
      <c r="C142">
        <v>0</v>
      </c>
      <c r="D142">
        <v>2</v>
      </c>
      <c r="E142" s="24">
        <v>43324111900</v>
      </c>
      <c r="F142">
        <f t="shared" si="2"/>
        <v>0.7</v>
      </c>
    </row>
    <row r="143" spans="1:6" x14ac:dyDescent="0.3">
      <c r="A143" t="s">
        <v>4</v>
      </c>
      <c r="B143" t="s">
        <v>10</v>
      </c>
      <c r="C143">
        <v>1</v>
      </c>
      <c r="D143">
        <v>2</v>
      </c>
      <c r="E143" s="24">
        <v>17134811000</v>
      </c>
      <c r="F143">
        <f t="shared" si="2"/>
        <v>0.3</v>
      </c>
    </row>
    <row r="144" spans="1:6" x14ac:dyDescent="0.3">
      <c r="A144" t="s">
        <v>4</v>
      </c>
      <c r="B144" t="s">
        <v>10</v>
      </c>
      <c r="C144">
        <v>0</v>
      </c>
      <c r="D144">
        <v>2</v>
      </c>
      <c r="E144" s="24">
        <v>13817730100</v>
      </c>
      <c r="F144">
        <f t="shared" si="2"/>
        <v>0.2</v>
      </c>
    </row>
    <row r="145" spans="1:6" x14ac:dyDescent="0.3">
      <c r="A145" t="s">
        <v>4</v>
      </c>
      <c r="B145" t="s">
        <v>10</v>
      </c>
      <c r="C145">
        <v>0</v>
      </c>
      <c r="D145">
        <v>2</v>
      </c>
      <c r="E145" s="24">
        <v>58112012100</v>
      </c>
      <c r="F145">
        <f t="shared" si="2"/>
        <v>1</v>
      </c>
    </row>
    <row r="146" spans="1:6" x14ac:dyDescent="0.3">
      <c r="A146" t="s">
        <v>4</v>
      </c>
      <c r="B146" t="s">
        <v>10</v>
      </c>
      <c r="C146">
        <v>0</v>
      </c>
      <c r="D146">
        <v>2</v>
      </c>
      <c r="E146" s="24">
        <v>56288303800</v>
      </c>
      <c r="F146">
        <f t="shared" si="2"/>
        <v>0.9</v>
      </c>
    </row>
    <row r="147" spans="1:6" x14ac:dyDescent="0.3">
      <c r="A147" t="s">
        <v>4</v>
      </c>
      <c r="B147" t="s">
        <v>10</v>
      </c>
      <c r="C147">
        <v>0</v>
      </c>
      <c r="D147">
        <v>2</v>
      </c>
      <c r="E147" s="24">
        <v>12531442670</v>
      </c>
      <c r="F147">
        <f t="shared" si="2"/>
        <v>0.2</v>
      </c>
    </row>
    <row r="148" spans="1:6" x14ac:dyDescent="0.3">
      <c r="A148" t="s">
        <v>4</v>
      </c>
      <c r="B148" t="s">
        <v>10</v>
      </c>
      <c r="C148">
        <v>0</v>
      </c>
      <c r="D148">
        <v>2</v>
      </c>
      <c r="E148" s="24">
        <v>75596171200</v>
      </c>
      <c r="F148">
        <f t="shared" si="2"/>
        <v>1.3</v>
      </c>
    </row>
    <row r="149" spans="1:6" x14ac:dyDescent="0.3">
      <c r="A149" t="s">
        <v>4</v>
      </c>
      <c r="B149" t="s">
        <v>10</v>
      </c>
      <c r="C149">
        <v>1</v>
      </c>
      <c r="D149">
        <v>2</v>
      </c>
      <c r="E149" s="24">
        <v>48853747500</v>
      </c>
      <c r="F149">
        <f t="shared" si="2"/>
        <v>0.8</v>
      </c>
    </row>
    <row r="150" spans="1:6" x14ac:dyDescent="0.3">
      <c r="A150" t="s">
        <v>4</v>
      </c>
      <c r="B150" t="s">
        <v>10</v>
      </c>
      <c r="C150">
        <v>0</v>
      </c>
      <c r="D150">
        <v>2</v>
      </c>
      <c r="E150" s="24">
        <v>64162035300</v>
      </c>
      <c r="F150">
        <f t="shared" si="2"/>
        <v>1.1000000000000001</v>
      </c>
    </row>
    <row r="151" spans="1:6" x14ac:dyDescent="0.3">
      <c r="A151" t="s">
        <v>4</v>
      </c>
      <c r="B151" t="s">
        <v>10</v>
      </c>
      <c r="C151">
        <v>0</v>
      </c>
      <c r="D151">
        <v>2</v>
      </c>
      <c r="E151" s="24">
        <v>86624678300</v>
      </c>
      <c r="F151">
        <f t="shared" si="2"/>
        <v>1.4</v>
      </c>
    </row>
    <row r="152" spans="1:6" x14ac:dyDescent="0.3">
      <c r="A152" t="s">
        <v>4</v>
      </c>
      <c r="B152" t="s">
        <v>10</v>
      </c>
      <c r="C152">
        <v>0</v>
      </c>
      <c r="D152">
        <v>2</v>
      </c>
      <c r="E152" s="24">
        <v>93875275200</v>
      </c>
      <c r="F152">
        <f t="shared" si="2"/>
        <v>1.6</v>
      </c>
    </row>
    <row r="153" spans="1:6" x14ac:dyDescent="0.3">
      <c r="A153" t="s">
        <v>3</v>
      </c>
      <c r="B153" t="s">
        <v>4</v>
      </c>
      <c r="C153">
        <v>1</v>
      </c>
      <c r="D153">
        <v>2</v>
      </c>
      <c r="E153" s="24">
        <v>86428990400</v>
      </c>
      <c r="F153">
        <f t="shared" si="2"/>
        <v>1.4</v>
      </c>
    </row>
    <row r="154" spans="1:6" x14ac:dyDescent="0.3">
      <c r="A154" t="s">
        <v>3</v>
      </c>
      <c r="B154" t="s">
        <v>4</v>
      </c>
      <c r="C154">
        <v>1</v>
      </c>
      <c r="D154">
        <v>2</v>
      </c>
      <c r="E154" s="24">
        <v>19929094000</v>
      </c>
      <c r="F154">
        <f t="shared" si="2"/>
        <v>0.3</v>
      </c>
    </row>
    <row r="155" spans="1:6" x14ac:dyDescent="0.3">
      <c r="A155" t="s">
        <v>3</v>
      </c>
      <c r="B155" t="s">
        <v>4</v>
      </c>
      <c r="C155">
        <v>1</v>
      </c>
      <c r="D155">
        <v>2</v>
      </c>
      <c r="E155" s="24">
        <v>77240143300</v>
      </c>
      <c r="F155">
        <f t="shared" si="2"/>
        <v>1.3</v>
      </c>
    </row>
    <row r="156" spans="1:6" x14ac:dyDescent="0.3">
      <c r="A156" t="s">
        <v>3</v>
      </c>
      <c r="B156" t="s">
        <v>4</v>
      </c>
      <c r="C156">
        <v>1</v>
      </c>
      <c r="D156">
        <v>2</v>
      </c>
      <c r="E156" s="24">
        <v>91876508900</v>
      </c>
      <c r="F156">
        <f t="shared" si="2"/>
        <v>1.5</v>
      </c>
    </row>
    <row r="157" spans="1:6" x14ac:dyDescent="0.3">
      <c r="A157" t="s">
        <v>3</v>
      </c>
      <c r="B157" t="s">
        <v>4</v>
      </c>
      <c r="C157">
        <v>1</v>
      </c>
      <c r="D157">
        <v>2</v>
      </c>
      <c r="E157" s="24">
        <v>126916132000</v>
      </c>
      <c r="F157">
        <f t="shared" si="2"/>
        <v>2.1</v>
      </c>
    </row>
    <row r="158" spans="1:6" x14ac:dyDescent="0.3">
      <c r="A158" t="s">
        <v>3</v>
      </c>
      <c r="B158" t="s">
        <v>4</v>
      </c>
      <c r="C158">
        <v>1</v>
      </c>
      <c r="D158">
        <v>2</v>
      </c>
      <c r="E158" s="24">
        <v>194270818800</v>
      </c>
      <c r="F158">
        <f t="shared" si="2"/>
        <v>3.2</v>
      </c>
    </row>
    <row r="159" spans="1:6" x14ac:dyDescent="0.3">
      <c r="A159" t="s">
        <v>3</v>
      </c>
      <c r="B159" t="s">
        <v>5</v>
      </c>
      <c r="C159">
        <v>1</v>
      </c>
      <c r="D159">
        <v>2</v>
      </c>
      <c r="E159" s="24">
        <v>154998370000</v>
      </c>
      <c r="F159">
        <f t="shared" si="2"/>
        <v>2.6</v>
      </c>
    </row>
    <row r="160" spans="1:6" x14ac:dyDescent="0.3">
      <c r="A160" t="s">
        <v>3</v>
      </c>
      <c r="B160" t="s">
        <v>5</v>
      </c>
      <c r="C160">
        <v>1</v>
      </c>
      <c r="D160">
        <v>2</v>
      </c>
      <c r="E160" s="24">
        <v>110076691400</v>
      </c>
      <c r="F160">
        <f t="shared" si="2"/>
        <v>1.8</v>
      </c>
    </row>
    <row r="161" spans="1:6" x14ac:dyDescent="0.3">
      <c r="A161" t="s">
        <v>3</v>
      </c>
      <c r="B161" t="s">
        <v>5</v>
      </c>
      <c r="C161">
        <v>1</v>
      </c>
      <c r="D161">
        <v>2</v>
      </c>
      <c r="E161" s="24">
        <v>125658552000</v>
      </c>
      <c r="F161">
        <f t="shared" si="2"/>
        <v>2.1</v>
      </c>
    </row>
    <row r="162" spans="1:6" x14ac:dyDescent="0.3">
      <c r="A162" t="s">
        <v>3</v>
      </c>
      <c r="B162" t="s">
        <v>5</v>
      </c>
      <c r="C162">
        <v>1</v>
      </c>
      <c r="D162">
        <v>2</v>
      </c>
      <c r="E162" s="24">
        <v>132819125900</v>
      </c>
      <c r="F162">
        <f t="shared" si="2"/>
        <v>2.2000000000000002</v>
      </c>
    </row>
    <row r="163" spans="1:6" x14ac:dyDescent="0.3">
      <c r="A163" t="s">
        <v>3</v>
      </c>
      <c r="B163" t="s">
        <v>5</v>
      </c>
      <c r="C163">
        <v>1</v>
      </c>
      <c r="D163">
        <v>2</v>
      </c>
      <c r="E163" s="24">
        <v>97928397200</v>
      </c>
      <c r="F163">
        <f t="shared" si="2"/>
        <v>1.6</v>
      </c>
    </row>
    <row r="164" spans="1:6" x14ac:dyDescent="0.3">
      <c r="A164" t="s">
        <v>3</v>
      </c>
      <c r="B164" t="s">
        <v>5</v>
      </c>
      <c r="C164">
        <v>1</v>
      </c>
      <c r="D164">
        <v>2</v>
      </c>
      <c r="E164" s="24">
        <v>144236662600</v>
      </c>
      <c r="F164">
        <f t="shared" si="2"/>
        <v>2.4</v>
      </c>
    </row>
    <row r="165" spans="1:6" x14ac:dyDescent="0.3">
      <c r="A165" t="s">
        <v>3</v>
      </c>
      <c r="B165" t="s">
        <v>5</v>
      </c>
      <c r="C165">
        <v>1</v>
      </c>
      <c r="D165">
        <v>2</v>
      </c>
      <c r="E165" s="24">
        <v>107039959600</v>
      </c>
      <c r="F165">
        <f t="shared" si="2"/>
        <v>1.8</v>
      </c>
    </row>
    <row r="166" spans="1:6" x14ac:dyDescent="0.3">
      <c r="A166" t="s">
        <v>3</v>
      </c>
      <c r="B166" t="s">
        <v>5</v>
      </c>
      <c r="C166">
        <v>1</v>
      </c>
      <c r="D166">
        <v>2</v>
      </c>
      <c r="E166" s="24">
        <v>112024759600</v>
      </c>
      <c r="F166">
        <f t="shared" si="2"/>
        <v>1.9</v>
      </c>
    </row>
    <row r="167" spans="1:6" x14ac:dyDescent="0.3">
      <c r="A167" t="s">
        <v>3</v>
      </c>
      <c r="B167" t="s">
        <v>5</v>
      </c>
      <c r="C167">
        <v>1</v>
      </c>
      <c r="D167">
        <v>2</v>
      </c>
      <c r="E167" s="24">
        <v>112910311700</v>
      </c>
      <c r="F167">
        <f t="shared" si="2"/>
        <v>1.9</v>
      </c>
    </row>
    <row r="168" spans="1:6" x14ac:dyDescent="0.3">
      <c r="A168" t="s">
        <v>3</v>
      </c>
      <c r="B168" t="s">
        <v>5</v>
      </c>
      <c r="C168">
        <v>1</v>
      </c>
      <c r="D168">
        <v>2</v>
      </c>
      <c r="E168" s="24">
        <v>43455629600</v>
      </c>
      <c r="F168">
        <f t="shared" si="2"/>
        <v>0.7</v>
      </c>
    </row>
    <row r="169" spans="1:6" x14ac:dyDescent="0.3">
      <c r="A169" t="s">
        <v>3</v>
      </c>
      <c r="B169" t="s">
        <v>5</v>
      </c>
      <c r="C169">
        <v>1</v>
      </c>
      <c r="D169">
        <v>2</v>
      </c>
      <c r="E169" s="24">
        <v>39810647800</v>
      </c>
      <c r="F169">
        <f t="shared" si="2"/>
        <v>0.7</v>
      </c>
    </row>
    <row r="170" spans="1:6" x14ac:dyDescent="0.3">
      <c r="A170" t="s">
        <v>3</v>
      </c>
      <c r="B170" t="s">
        <v>5</v>
      </c>
      <c r="C170">
        <v>1</v>
      </c>
      <c r="D170">
        <v>2</v>
      </c>
      <c r="E170" s="24">
        <v>42164378800</v>
      </c>
      <c r="F170">
        <f t="shared" si="2"/>
        <v>0.7</v>
      </c>
    </row>
    <row r="171" spans="1:6" x14ac:dyDescent="0.3">
      <c r="A171" t="s">
        <v>3</v>
      </c>
      <c r="B171" t="s">
        <v>5</v>
      </c>
      <c r="C171">
        <v>1</v>
      </c>
      <c r="D171">
        <v>2</v>
      </c>
      <c r="E171" s="24">
        <v>40510080700</v>
      </c>
      <c r="F171">
        <f t="shared" si="2"/>
        <v>0.7</v>
      </c>
    </row>
    <row r="172" spans="1:6" x14ac:dyDescent="0.3">
      <c r="A172" t="s">
        <v>3</v>
      </c>
      <c r="B172" t="s">
        <v>5</v>
      </c>
      <c r="C172">
        <v>1</v>
      </c>
      <c r="D172">
        <v>2</v>
      </c>
      <c r="E172" s="24">
        <v>55215422700</v>
      </c>
      <c r="F172">
        <f t="shared" si="2"/>
        <v>0.9</v>
      </c>
    </row>
    <row r="173" spans="1:6" x14ac:dyDescent="0.3">
      <c r="A173" t="s">
        <v>3</v>
      </c>
      <c r="B173" t="s">
        <v>5</v>
      </c>
      <c r="C173">
        <v>1</v>
      </c>
      <c r="D173">
        <v>2</v>
      </c>
      <c r="E173" s="24">
        <v>49256938200</v>
      </c>
      <c r="F173">
        <f t="shared" si="2"/>
        <v>0.8</v>
      </c>
    </row>
    <row r="174" spans="1:6" x14ac:dyDescent="0.3">
      <c r="A174" t="s">
        <v>3</v>
      </c>
      <c r="B174" t="s">
        <v>5</v>
      </c>
      <c r="C174">
        <v>1</v>
      </c>
      <c r="D174">
        <v>2</v>
      </c>
      <c r="E174" s="24">
        <v>51156149100</v>
      </c>
      <c r="F174">
        <f t="shared" si="2"/>
        <v>0.9</v>
      </c>
    </row>
    <row r="175" spans="1:6" x14ac:dyDescent="0.3">
      <c r="A175" t="s">
        <v>3</v>
      </c>
      <c r="B175" t="s">
        <v>5</v>
      </c>
      <c r="C175">
        <v>1</v>
      </c>
      <c r="D175">
        <v>2</v>
      </c>
      <c r="E175" s="24">
        <v>50582778100</v>
      </c>
      <c r="F175">
        <f t="shared" si="2"/>
        <v>0.8</v>
      </c>
    </row>
    <row r="176" spans="1:6" x14ac:dyDescent="0.3">
      <c r="A176" t="s">
        <v>3</v>
      </c>
      <c r="B176" t="s">
        <v>5</v>
      </c>
      <c r="C176">
        <v>0</v>
      </c>
      <c r="D176">
        <v>2</v>
      </c>
      <c r="E176" s="24">
        <v>38385675100</v>
      </c>
      <c r="F176">
        <f t="shared" si="2"/>
        <v>0.6</v>
      </c>
    </row>
    <row r="177" spans="1:6" x14ac:dyDescent="0.3">
      <c r="A177" t="s">
        <v>3</v>
      </c>
      <c r="B177" t="s">
        <v>5</v>
      </c>
      <c r="C177">
        <v>0</v>
      </c>
      <c r="D177">
        <v>2</v>
      </c>
      <c r="E177" s="24">
        <v>42440236000</v>
      </c>
      <c r="F177">
        <f t="shared" si="2"/>
        <v>0.7</v>
      </c>
    </row>
    <row r="178" spans="1:6" x14ac:dyDescent="0.3">
      <c r="A178" t="s">
        <v>3</v>
      </c>
      <c r="B178" t="s">
        <v>5</v>
      </c>
      <c r="C178">
        <v>1</v>
      </c>
      <c r="D178">
        <v>2</v>
      </c>
      <c r="E178" s="24">
        <v>135565944800</v>
      </c>
      <c r="F178">
        <f t="shared" si="2"/>
        <v>2.2999999999999998</v>
      </c>
    </row>
    <row r="179" spans="1:6" x14ac:dyDescent="0.3">
      <c r="A179" t="s">
        <v>3</v>
      </c>
      <c r="B179" t="s">
        <v>5</v>
      </c>
      <c r="C179">
        <v>1</v>
      </c>
      <c r="D179">
        <v>2</v>
      </c>
      <c r="E179" s="24">
        <v>146534593200</v>
      </c>
      <c r="F179">
        <f t="shared" si="2"/>
        <v>2.4</v>
      </c>
    </row>
    <row r="180" spans="1:6" x14ac:dyDescent="0.3">
      <c r="A180" t="s">
        <v>3</v>
      </c>
      <c r="B180" t="s">
        <v>5</v>
      </c>
      <c r="C180">
        <v>1</v>
      </c>
      <c r="D180">
        <v>2</v>
      </c>
      <c r="E180" s="24">
        <v>145971735600</v>
      </c>
      <c r="F180">
        <f t="shared" si="2"/>
        <v>2.4</v>
      </c>
    </row>
    <row r="181" spans="1:6" x14ac:dyDescent="0.3">
      <c r="A181" t="s">
        <v>3</v>
      </c>
      <c r="B181" t="s">
        <v>5</v>
      </c>
      <c r="C181">
        <v>1</v>
      </c>
      <c r="D181">
        <v>2</v>
      </c>
      <c r="E181" s="24">
        <v>107789192000</v>
      </c>
      <c r="F181">
        <f t="shared" si="2"/>
        <v>1.8</v>
      </c>
    </row>
    <row r="182" spans="1:6" x14ac:dyDescent="0.3">
      <c r="A182" t="s">
        <v>3</v>
      </c>
      <c r="B182" t="s">
        <v>5</v>
      </c>
      <c r="C182">
        <v>1</v>
      </c>
      <c r="D182">
        <v>2</v>
      </c>
      <c r="E182" s="24">
        <v>174705770900</v>
      </c>
      <c r="F182">
        <f t="shared" si="2"/>
        <v>2.9</v>
      </c>
    </row>
    <row r="183" spans="1:6" x14ac:dyDescent="0.3">
      <c r="A183" t="s">
        <v>3</v>
      </c>
      <c r="B183" t="s">
        <v>5</v>
      </c>
      <c r="C183">
        <v>1</v>
      </c>
      <c r="D183">
        <v>2</v>
      </c>
      <c r="E183" s="24">
        <v>166010087500</v>
      </c>
      <c r="F183">
        <f t="shared" si="2"/>
        <v>2.8</v>
      </c>
    </row>
    <row r="184" spans="1:6" x14ac:dyDescent="0.3">
      <c r="A184" t="s">
        <v>3</v>
      </c>
      <c r="B184" t="s">
        <v>5</v>
      </c>
      <c r="C184">
        <v>1</v>
      </c>
      <c r="D184">
        <v>2</v>
      </c>
      <c r="E184" s="24">
        <v>402269650400</v>
      </c>
      <c r="F184">
        <f t="shared" si="2"/>
        <v>6.7</v>
      </c>
    </row>
    <row r="185" spans="1:6" x14ac:dyDescent="0.3">
      <c r="A185" t="s">
        <v>3</v>
      </c>
      <c r="B185" t="s">
        <v>1</v>
      </c>
      <c r="C185">
        <v>1</v>
      </c>
      <c r="D185">
        <v>2</v>
      </c>
      <c r="E185" s="24">
        <v>4706882900</v>
      </c>
      <c r="F185">
        <f t="shared" si="2"/>
        <v>0.1</v>
      </c>
    </row>
    <row r="186" spans="1:6" x14ac:dyDescent="0.3">
      <c r="A186" t="s">
        <v>3</v>
      </c>
      <c r="B186" t="s">
        <v>1</v>
      </c>
      <c r="C186">
        <v>1</v>
      </c>
      <c r="D186">
        <v>2</v>
      </c>
      <c r="E186" s="24">
        <v>1503006900</v>
      </c>
      <c r="F186">
        <f t="shared" si="2"/>
        <v>0</v>
      </c>
    </row>
    <row r="187" spans="1:6" x14ac:dyDescent="0.3">
      <c r="A187" t="s">
        <v>3</v>
      </c>
      <c r="B187" t="s">
        <v>1</v>
      </c>
      <c r="C187">
        <v>1</v>
      </c>
      <c r="D187">
        <v>2</v>
      </c>
      <c r="E187" s="24">
        <v>3229154100</v>
      </c>
      <c r="F187">
        <f t="shared" si="2"/>
        <v>0.1</v>
      </c>
    </row>
    <row r="188" spans="1:6" x14ac:dyDescent="0.3">
      <c r="A188" t="s">
        <v>3</v>
      </c>
      <c r="B188" t="s">
        <v>1</v>
      </c>
      <c r="C188">
        <v>1</v>
      </c>
      <c r="D188">
        <v>2</v>
      </c>
      <c r="E188" s="24">
        <v>5112878200</v>
      </c>
      <c r="F188">
        <f t="shared" si="2"/>
        <v>0.1</v>
      </c>
    </row>
    <row r="189" spans="1:6" x14ac:dyDescent="0.3">
      <c r="A189" t="s">
        <v>3</v>
      </c>
      <c r="B189" t="s">
        <v>1</v>
      </c>
      <c r="C189">
        <v>1</v>
      </c>
      <c r="D189">
        <v>2</v>
      </c>
      <c r="E189" s="24">
        <v>4584759000</v>
      </c>
      <c r="F189">
        <f t="shared" si="2"/>
        <v>0.1</v>
      </c>
    </row>
    <row r="190" spans="1:6" x14ac:dyDescent="0.3">
      <c r="A190" t="s">
        <v>3</v>
      </c>
      <c r="B190" t="s">
        <v>1</v>
      </c>
      <c r="C190">
        <v>1</v>
      </c>
      <c r="D190">
        <v>2</v>
      </c>
      <c r="E190" s="24">
        <v>4457515700</v>
      </c>
      <c r="F190">
        <f t="shared" si="2"/>
        <v>0.1</v>
      </c>
    </row>
    <row r="191" spans="1:6" x14ac:dyDescent="0.3">
      <c r="A191" t="s">
        <v>3</v>
      </c>
      <c r="B191" t="s">
        <v>2</v>
      </c>
      <c r="C191">
        <v>1</v>
      </c>
      <c r="D191">
        <v>2</v>
      </c>
      <c r="E191" s="24">
        <v>143814300</v>
      </c>
      <c r="F191">
        <f t="shared" si="2"/>
        <v>0</v>
      </c>
    </row>
    <row r="192" spans="1:6" x14ac:dyDescent="0.3">
      <c r="A192" t="s">
        <v>3</v>
      </c>
      <c r="B192" t="s">
        <v>2</v>
      </c>
      <c r="C192">
        <v>1</v>
      </c>
      <c r="D192">
        <v>2</v>
      </c>
      <c r="E192" s="24">
        <v>432016300</v>
      </c>
      <c r="F192">
        <f t="shared" si="2"/>
        <v>0</v>
      </c>
    </row>
    <row r="193" spans="1:6" x14ac:dyDescent="0.3">
      <c r="A193" t="s">
        <v>3</v>
      </c>
      <c r="B193" t="s">
        <v>2</v>
      </c>
      <c r="C193">
        <v>1</v>
      </c>
      <c r="D193">
        <v>2</v>
      </c>
      <c r="E193" s="24">
        <v>561221300</v>
      </c>
      <c r="F193">
        <f t="shared" si="2"/>
        <v>0</v>
      </c>
    </row>
    <row r="194" spans="1:6" x14ac:dyDescent="0.3">
      <c r="A194" t="s">
        <v>3</v>
      </c>
      <c r="B194" t="s">
        <v>2</v>
      </c>
      <c r="C194">
        <v>1</v>
      </c>
      <c r="D194">
        <v>2</v>
      </c>
      <c r="E194" s="24">
        <v>635033600</v>
      </c>
      <c r="F194">
        <f t="shared" ref="F194:F257" si="3">ROUND(E194/60000000000, 1)</f>
        <v>0</v>
      </c>
    </row>
    <row r="195" spans="1:6" x14ac:dyDescent="0.3">
      <c r="A195" t="s">
        <v>3</v>
      </c>
      <c r="B195" t="s">
        <v>2</v>
      </c>
      <c r="C195">
        <v>1</v>
      </c>
      <c r="D195">
        <v>2</v>
      </c>
      <c r="E195" s="24">
        <v>757031100</v>
      </c>
      <c r="F195">
        <f t="shared" si="3"/>
        <v>0</v>
      </c>
    </row>
    <row r="196" spans="1:6" x14ac:dyDescent="0.3">
      <c r="A196" t="s">
        <v>3</v>
      </c>
      <c r="B196" t="s">
        <v>10</v>
      </c>
      <c r="C196">
        <v>1</v>
      </c>
      <c r="D196">
        <v>2</v>
      </c>
      <c r="E196" s="24">
        <v>235845500</v>
      </c>
      <c r="F196">
        <f t="shared" si="3"/>
        <v>0</v>
      </c>
    </row>
    <row r="197" spans="1:6" x14ac:dyDescent="0.3">
      <c r="A197" t="s">
        <v>3</v>
      </c>
      <c r="B197" t="s">
        <v>10</v>
      </c>
      <c r="C197">
        <v>1</v>
      </c>
      <c r="D197">
        <v>2</v>
      </c>
      <c r="E197" s="24">
        <v>161564800</v>
      </c>
      <c r="F197">
        <f t="shared" si="3"/>
        <v>0</v>
      </c>
    </row>
    <row r="198" spans="1:6" x14ac:dyDescent="0.3">
      <c r="A198" t="s">
        <v>3</v>
      </c>
      <c r="B198" t="s">
        <v>10</v>
      </c>
      <c r="C198">
        <v>1</v>
      </c>
      <c r="D198">
        <v>2</v>
      </c>
      <c r="E198" s="24">
        <v>117009000</v>
      </c>
      <c r="F198">
        <f t="shared" si="3"/>
        <v>0</v>
      </c>
    </row>
    <row r="199" spans="1:6" x14ac:dyDescent="0.3">
      <c r="A199" t="s">
        <v>3</v>
      </c>
      <c r="B199" t="s">
        <v>10</v>
      </c>
      <c r="C199">
        <v>1</v>
      </c>
      <c r="D199">
        <v>2</v>
      </c>
      <c r="E199" s="24">
        <v>32320300</v>
      </c>
      <c r="F199">
        <f t="shared" si="3"/>
        <v>0</v>
      </c>
    </row>
    <row r="200" spans="1:6" x14ac:dyDescent="0.3">
      <c r="A200" t="s">
        <v>3</v>
      </c>
      <c r="B200" t="s">
        <v>10</v>
      </c>
      <c r="C200">
        <v>1</v>
      </c>
      <c r="D200">
        <v>2</v>
      </c>
      <c r="E200" s="24">
        <v>257446500</v>
      </c>
      <c r="F200">
        <f t="shared" si="3"/>
        <v>0</v>
      </c>
    </row>
    <row r="201" spans="1:6" x14ac:dyDescent="0.3">
      <c r="A201" t="s">
        <v>3</v>
      </c>
      <c r="B201" t="s">
        <v>10</v>
      </c>
      <c r="C201">
        <v>1</v>
      </c>
      <c r="D201">
        <v>2</v>
      </c>
      <c r="E201" s="24">
        <v>165152400</v>
      </c>
      <c r="F201">
        <f t="shared" si="3"/>
        <v>0</v>
      </c>
    </row>
    <row r="202" spans="1:6" x14ac:dyDescent="0.3">
      <c r="A202" t="s">
        <v>3</v>
      </c>
      <c r="B202" t="s">
        <v>10</v>
      </c>
      <c r="C202">
        <v>1</v>
      </c>
      <c r="D202">
        <v>2</v>
      </c>
      <c r="E202" s="24">
        <v>120554500</v>
      </c>
      <c r="F202">
        <f t="shared" si="3"/>
        <v>0</v>
      </c>
    </row>
    <row r="203" spans="1:6" x14ac:dyDescent="0.3">
      <c r="A203" t="s">
        <v>3</v>
      </c>
      <c r="B203" t="s">
        <v>10</v>
      </c>
      <c r="C203">
        <v>1</v>
      </c>
      <c r="D203">
        <v>2</v>
      </c>
      <c r="E203" s="24">
        <v>159083700</v>
      </c>
      <c r="F203">
        <f t="shared" si="3"/>
        <v>0</v>
      </c>
    </row>
    <row r="204" spans="1:6" x14ac:dyDescent="0.3">
      <c r="A204" t="s">
        <v>8</v>
      </c>
      <c r="B204" t="s">
        <v>4</v>
      </c>
      <c r="C204">
        <v>1</v>
      </c>
      <c r="D204">
        <v>2</v>
      </c>
      <c r="E204" s="24">
        <v>3706770709100</v>
      </c>
      <c r="F204">
        <f t="shared" si="3"/>
        <v>61.8</v>
      </c>
    </row>
    <row r="205" spans="1:6" x14ac:dyDescent="0.3">
      <c r="A205" t="s">
        <v>8</v>
      </c>
      <c r="B205" t="s">
        <v>3</v>
      </c>
      <c r="C205">
        <v>0</v>
      </c>
      <c r="D205">
        <v>2</v>
      </c>
      <c r="E205" s="24">
        <v>10070735721100</v>
      </c>
      <c r="F205">
        <f t="shared" si="3"/>
        <v>167.8</v>
      </c>
    </row>
    <row r="206" spans="1:6" x14ac:dyDescent="0.3">
      <c r="A206" t="s">
        <v>8</v>
      </c>
      <c r="B206" t="s">
        <v>5</v>
      </c>
      <c r="C206">
        <v>1</v>
      </c>
      <c r="D206">
        <v>2</v>
      </c>
      <c r="E206" s="24">
        <v>5292995482700</v>
      </c>
      <c r="F206">
        <f t="shared" si="3"/>
        <v>88.2</v>
      </c>
    </row>
    <row r="207" spans="1:6" x14ac:dyDescent="0.3">
      <c r="A207" t="s">
        <v>8</v>
      </c>
      <c r="B207" t="s">
        <v>1</v>
      </c>
      <c r="C207">
        <v>0</v>
      </c>
      <c r="D207">
        <v>2</v>
      </c>
      <c r="E207" s="24">
        <v>7892460209400</v>
      </c>
      <c r="F207">
        <f t="shared" si="3"/>
        <v>131.5</v>
      </c>
    </row>
    <row r="208" spans="1:6" x14ac:dyDescent="0.3">
      <c r="A208" t="s">
        <v>8</v>
      </c>
      <c r="B208" t="s">
        <v>2</v>
      </c>
      <c r="C208">
        <v>1</v>
      </c>
      <c r="D208">
        <v>2</v>
      </c>
      <c r="E208" s="24">
        <v>5688526382900</v>
      </c>
      <c r="F208">
        <f t="shared" si="3"/>
        <v>94.8</v>
      </c>
    </row>
    <row r="209" spans="1:6" x14ac:dyDescent="0.3">
      <c r="A209" t="s">
        <v>8</v>
      </c>
      <c r="B209" t="s">
        <v>10</v>
      </c>
      <c r="C209">
        <v>1</v>
      </c>
      <c r="D209">
        <v>2</v>
      </c>
      <c r="E209" s="24">
        <v>4445291781700</v>
      </c>
      <c r="F209">
        <f t="shared" si="3"/>
        <v>74.099999999999994</v>
      </c>
    </row>
    <row r="210" spans="1:6" x14ac:dyDescent="0.3">
      <c r="A210" t="s">
        <v>7</v>
      </c>
      <c r="B210" t="s">
        <v>4</v>
      </c>
      <c r="C210">
        <v>1</v>
      </c>
      <c r="D210">
        <v>2</v>
      </c>
      <c r="E210" s="24">
        <v>3609885035600</v>
      </c>
      <c r="F210">
        <f t="shared" si="3"/>
        <v>60.2</v>
      </c>
    </row>
    <row r="211" spans="1:6" x14ac:dyDescent="0.3">
      <c r="A211" t="s">
        <v>7</v>
      </c>
      <c r="B211" t="s">
        <v>5</v>
      </c>
      <c r="C211">
        <v>1</v>
      </c>
      <c r="D211">
        <v>2</v>
      </c>
      <c r="E211" s="24">
        <v>6557030161100</v>
      </c>
      <c r="F211">
        <f t="shared" si="3"/>
        <v>109.3</v>
      </c>
    </row>
    <row r="212" spans="1:6" x14ac:dyDescent="0.3">
      <c r="A212" t="s">
        <v>5</v>
      </c>
      <c r="B212" t="s">
        <v>9</v>
      </c>
      <c r="C212">
        <v>0</v>
      </c>
      <c r="D212">
        <v>2</v>
      </c>
      <c r="E212" s="24">
        <v>16329182679201</v>
      </c>
      <c r="F212">
        <f t="shared" si="3"/>
        <v>272.2</v>
      </c>
    </row>
    <row r="213" spans="1:6" x14ac:dyDescent="0.3">
      <c r="A213" t="s">
        <v>5</v>
      </c>
      <c r="B213" t="s">
        <v>4</v>
      </c>
      <c r="C213">
        <v>1</v>
      </c>
      <c r="D213">
        <v>2</v>
      </c>
      <c r="E213" s="24">
        <v>386387823000</v>
      </c>
      <c r="F213">
        <f t="shared" si="3"/>
        <v>6.4</v>
      </c>
    </row>
    <row r="214" spans="1:6" x14ac:dyDescent="0.3">
      <c r="A214" t="s">
        <v>5</v>
      </c>
      <c r="B214" t="s">
        <v>4</v>
      </c>
      <c r="C214">
        <v>1</v>
      </c>
      <c r="D214">
        <v>2</v>
      </c>
      <c r="E214" s="24">
        <v>42464805800</v>
      </c>
      <c r="F214">
        <f t="shared" si="3"/>
        <v>0.7</v>
      </c>
    </row>
    <row r="215" spans="1:6" x14ac:dyDescent="0.3">
      <c r="A215" t="s">
        <v>5</v>
      </c>
      <c r="B215" t="s">
        <v>4</v>
      </c>
      <c r="C215">
        <v>1</v>
      </c>
      <c r="D215">
        <v>2</v>
      </c>
      <c r="E215" s="24">
        <v>39368806600</v>
      </c>
      <c r="F215">
        <f t="shared" si="3"/>
        <v>0.7</v>
      </c>
    </row>
    <row r="216" spans="1:6" x14ac:dyDescent="0.3">
      <c r="A216" t="s">
        <v>5</v>
      </c>
      <c r="B216" t="s">
        <v>4</v>
      </c>
      <c r="C216">
        <v>1</v>
      </c>
      <c r="D216">
        <v>2</v>
      </c>
      <c r="E216" s="24">
        <v>38520456001</v>
      </c>
      <c r="F216">
        <f t="shared" si="3"/>
        <v>0.6</v>
      </c>
    </row>
    <row r="217" spans="1:6" x14ac:dyDescent="0.3">
      <c r="A217" t="s">
        <v>5</v>
      </c>
      <c r="B217" t="s">
        <v>4</v>
      </c>
      <c r="C217">
        <v>1</v>
      </c>
      <c r="D217">
        <v>2</v>
      </c>
      <c r="E217" s="24">
        <v>40817081700</v>
      </c>
      <c r="F217">
        <f t="shared" si="3"/>
        <v>0.7</v>
      </c>
    </row>
    <row r="218" spans="1:6" x14ac:dyDescent="0.3">
      <c r="A218" t="s">
        <v>5</v>
      </c>
      <c r="B218" t="s">
        <v>4</v>
      </c>
      <c r="C218">
        <v>1</v>
      </c>
      <c r="D218">
        <v>2</v>
      </c>
      <c r="E218" s="24">
        <v>39920454900</v>
      </c>
      <c r="F218">
        <f t="shared" si="3"/>
        <v>0.7</v>
      </c>
    </row>
    <row r="219" spans="1:6" x14ac:dyDescent="0.3">
      <c r="A219" t="s">
        <v>5</v>
      </c>
      <c r="B219" t="s">
        <v>4</v>
      </c>
      <c r="C219">
        <v>1</v>
      </c>
      <c r="D219">
        <v>2</v>
      </c>
      <c r="E219" s="24">
        <v>37911861100</v>
      </c>
      <c r="F219">
        <f t="shared" si="3"/>
        <v>0.6</v>
      </c>
    </row>
    <row r="220" spans="1:6" x14ac:dyDescent="0.3">
      <c r="A220" t="s">
        <v>5</v>
      </c>
      <c r="B220" t="s">
        <v>4</v>
      </c>
      <c r="C220">
        <v>1</v>
      </c>
      <c r="D220">
        <v>2</v>
      </c>
      <c r="E220" s="24">
        <v>48757422300</v>
      </c>
      <c r="F220">
        <f t="shared" si="3"/>
        <v>0.8</v>
      </c>
    </row>
    <row r="221" spans="1:6" x14ac:dyDescent="0.3">
      <c r="A221" t="s">
        <v>5</v>
      </c>
      <c r="B221" t="s">
        <v>4</v>
      </c>
      <c r="C221">
        <v>1</v>
      </c>
      <c r="D221">
        <v>2</v>
      </c>
      <c r="E221" s="24">
        <v>50791743300</v>
      </c>
      <c r="F221">
        <f t="shared" si="3"/>
        <v>0.8</v>
      </c>
    </row>
    <row r="222" spans="1:6" x14ac:dyDescent="0.3">
      <c r="A222" t="s">
        <v>5</v>
      </c>
      <c r="B222" t="s">
        <v>4</v>
      </c>
      <c r="C222">
        <v>1</v>
      </c>
      <c r="D222">
        <v>2</v>
      </c>
      <c r="E222" s="24">
        <v>44758813300</v>
      </c>
      <c r="F222">
        <f t="shared" si="3"/>
        <v>0.7</v>
      </c>
    </row>
    <row r="223" spans="1:6" x14ac:dyDescent="0.3">
      <c r="A223" t="s">
        <v>5</v>
      </c>
      <c r="B223" t="s">
        <v>4</v>
      </c>
      <c r="C223">
        <v>1</v>
      </c>
      <c r="D223">
        <v>2</v>
      </c>
      <c r="E223" s="24">
        <v>49491584000</v>
      </c>
      <c r="F223">
        <f t="shared" si="3"/>
        <v>0.8</v>
      </c>
    </row>
    <row r="224" spans="1:6" x14ac:dyDescent="0.3">
      <c r="A224" t="s">
        <v>5</v>
      </c>
      <c r="B224" t="s">
        <v>4</v>
      </c>
      <c r="C224">
        <v>1</v>
      </c>
      <c r="D224">
        <v>2</v>
      </c>
      <c r="E224" s="24">
        <v>149277626200</v>
      </c>
      <c r="F224">
        <f t="shared" si="3"/>
        <v>2.5</v>
      </c>
    </row>
    <row r="225" spans="1:6" x14ac:dyDescent="0.3">
      <c r="A225" t="s">
        <v>5</v>
      </c>
      <c r="B225" t="s">
        <v>4</v>
      </c>
      <c r="C225">
        <v>1</v>
      </c>
      <c r="D225">
        <v>2</v>
      </c>
      <c r="E225" s="24">
        <v>124717452500</v>
      </c>
      <c r="F225">
        <f t="shared" si="3"/>
        <v>2.1</v>
      </c>
    </row>
    <row r="226" spans="1:6" x14ac:dyDescent="0.3">
      <c r="A226" t="s">
        <v>5</v>
      </c>
      <c r="B226" t="s">
        <v>4</v>
      </c>
      <c r="C226">
        <v>1</v>
      </c>
      <c r="D226">
        <v>2</v>
      </c>
      <c r="E226" s="24">
        <v>143936461400</v>
      </c>
      <c r="F226">
        <f t="shared" si="3"/>
        <v>2.4</v>
      </c>
    </row>
    <row r="227" spans="1:6" x14ac:dyDescent="0.3">
      <c r="A227" t="s">
        <v>5</v>
      </c>
      <c r="B227" t="s">
        <v>4</v>
      </c>
      <c r="C227">
        <v>1</v>
      </c>
      <c r="D227">
        <v>2</v>
      </c>
      <c r="E227" s="24">
        <v>102362017900</v>
      </c>
      <c r="F227">
        <f t="shared" si="3"/>
        <v>1.7</v>
      </c>
    </row>
    <row r="228" spans="1:6" x14ac:dyDescent="0.3">
      <c r="A228" t="s">
        <v>5</v>
      </c>
      <c r="B228" t="s">
        <v>4</v>
      </c>
      <c r="C228">
        <v>1</v>
      </c>
      <c r="D228">
        <v>2</v>
      </c>
      <c r="E228" s="24">
        <v>156596547000</v>
      </c>
      <c r="F228">
        <f t="shared" si="3"/>
        <v>2.6</v>
      </c>
    </row>
    <row r="229" spans="1:6" x14ac:dyDescent="0.3">
      <c r="A229" t="s">
        <v>5</v>
      </c>
      <c r="B229" t="s">
        <v>4</v>
      </c>
      <c r="C229">
        <v>1</v>
      </c>
      <c r="D229">
        <v>2</v>
      </c>
      <c r="E229" s="24">
        <v>181883275700</v>
      </c>
      <c r="F229">
        <f t="shared" si="3"/>
        <v>3</v>
      </c>
    </row>
    <row r="230" spans="1:6" x14ac:dyDescent="0.3">
      <c r="A230" t="s">
        <v>5</v>
      </c>
      <c r="B230" t="s">
        <v>3</v>
      </c>
      <c r="C230">
        <v>0</v>
      </c>
      <c r="D230">
        <v>2</v>
      </c>
      <c r="E230" s="24">
        <v>188599305800</v>
      </c>
      <c r="F230">
        <f t="shared" si="3"/>
        <v>3.1</v>
      </c>
    </row>
    <row r="231" spans="1:6" x14ac:dyDescent="0.3">
      <c r="A231" t="s">
        <v>5</v>
      </c>
      <c r="B231" t="s">
        <v>3</v>
      </c>
      <c r="C231">
        <v>0</v>
      </c>
      <c r="D231">
        <v>2</v>
      </c>
      <c r="E231" s="24">
        <v>102436808400</v>
      </c>
      <c r="F231">
        <f t="shared" si="3"/>
        <v>1.7</v>
      </c>
    </row>
    <row r="232" spans="1:6" x14ac:dyDescent="0.3">
      <c r="A232" t="s">
        <v>5</v>
      </c>
      <c r="B232" t="s">
        <v>3</v>
      </c>
      <c r="C232">
        <v>0</v>
      </c>
      <c r="D232">
        <v>2</v>
      </c>
      <c r="E232" s="24">
        <v>122006801800</v>
      </c>
      <c r="F232">
        <f t="shared" si="3"/>
        <v>2</v>
      </c>
    </row>
    <row r="233" spans="1:6" x14ac:dyDescent="0.3">
      <c r="A233" t="s">
        <v>5</v>
      </c>
      <c r="B233" t="s">
        <v>3</v>
      </c>
      <c r="C233">
        <v>0</v>
      </c>
      <c r="D233">
        <v>2</v>
      </c>
      <c r="E233" s="24">
        <v>92480821900</v>
      </c>
      <c r="F233">
        <f t="shared" si="3"/>
        <v>1.5</v>
      </c>
    </row>
    <row r="234" spans="1:6" x14ac:dyDescent="0.3">
      <c r="A234" t="s">
        <v>5</v>
      </c>
      <c r="B234" t="s">
        <v>3</v>
      </c>
      <c r="C234">
        <v>0</v>
      </c>
      <c r="D234">
        <v>2</v>
      </c>
      <c r="E234" s="24">
        <v>98842782900</v>
      </c>
      <c r="F234">
        <f t="shared" si="3"/>
        <v>1.6</v>
      </c>
    </row>
    <row r="235" spans="1:6" x14ac:dyDescent="0.3">
      <c r="A235" t="s">
        <v>5</v>
      </c>
      <c r="B235" t="s">
        <v>3</v>
      </c>
      <c r="C235">
        <v>0</v>
      </c>
      <c r="D235">
        <v>2</v>
      </c>
      <c r="E235" s="24">
        <v>97913727300</v>
      </c>
      <c r="F235">
        <f t="shared" si="3"/>
        <v>1.6</v>
      </c>
    </row>
    <row r="236" spans="1:6" x14ac:dyDescent="0.3">
      <c r="A236" t="s">
        <v>5</v>
      </c>
      <c r="B236" t="s">
        <v>3</v>
      </c>
      <c r="C236">
        <v>0</v>
      </c>
      <c r="D236">
        <v>2</v>
      </c>
      <c r="E236" s="24">
        <v>152414414900</v>
      </c>
      <c r="F236">
        <f t="shared" si="3"/>
        <v>2.5</v>
      </c>
    </row>
    <row r="237" spans="1:6" x14ac:dyDescent="0.3">
      <c r="A237" t="s">
        <v>5</v>
      </c>
      <c r="B237" t="s">
        <v>3</v>
      </c>
      <c r="C237">
        <v>0</v>
      </c>
      <c r="D237">
        <v>2</v>
      </c>
      <c r="E237" s="24">
        <v>134900314100</v>
      </c>
      <c r="F237">
        <f t="shared" si="3"/>
        <v>2.2000000000000002</v>
      </c>
    </row>
    <row r="238" spans="1:6" x14ac:dyDescent="0.3">
      <c r="A238" t="s">
        <v>5</v>
      </c>
      <c r="B238" t="s">
        <v>3</v>
      </c>
      <c r="C238">
        <v>0</v>
      </c>
      <c r="D238">
        <v>2</v>
      </c>
      <c r="E238" s="24">
        <v>164959418100</v>
      </c>
      <c r="F238">
        <f t="shared" si="3"/>
        <v>2.7</v>
      </c>
    </row>
    <row r="239" spans="1:6" x14ac:dyDescent="0.3">
      <c r="A239" t="s">
        <v>5</v>
      </c>
      <c r="B239" t="s">
        <v>3</v>
      </c>
      <c r="C239">
        <v>0</v>
      </c>
      <c r="D239">
        <v>2</v>
      </c>
      <c r="E239" s="24">
        <v>128946923600</v>
      </c>
      <c r="F239">
        <f t="shared" si="3"/>
        <v>2.1</v>
      </c>
    </row>
    <row r="240" spans="1:6" x14ac:dyDescent="0.3">
      <c r="A240" t="s">
        <v>5</v>
      </c>
      <c r="B240" t="s">
        <v>3</v>
      </c>
      <c r="C240">
        <v>0</v>
      </c>
      <c r="D240">
        <v>2</v>
      </c>
      <c r="E240" s="24">
        <v>42277436000</v>
      </c>
      <c r="F240">
        <f t="shared" si="3"/>
        <v>0.7</v>
      </c>
    </row>
    <row r="241" spans="1:6" x14ac:dyDescent="0.3">
      <c r="A241" t="s">
        <v>5</v>
      </c>
      <c r="B241" t="s">
        <v>3</v>
      </c>
      <c r="C241">
        <v>0</v>
      </c>
      <c r="D241">
        <v>2</v>
      </c>
      <c r="E241" s="24">
        <v>45408488700</v>
      </c>
      <c r="F241">
        <f t="shared" si="3"/>
        <v>0.8</v>
      </c>
    </row>
    <row r="242" spans="1:6" x14ac:dyDescent="0.3">
      <c r="A242" t="s">
        <v>5</v>
      </c>
      <c r="B242" t="s">
        <v>3</v>
      </c>
      <c r="C242">
        <v>0</v>
      </c>
      <c r="D242">
        <v>2</v>
      </c>
      <c r="E242" s="24">
        <v>43713663401</v>
      </c>
      <c r="F242">
        <f t="shared" si="3"/>
        <v>0.7</v>
      </c>
    </row>
    <row r="243" spans="1:6" x14ac:dyDescent="0.3">
      <c r="A243" t="s">
        <v>5</v>
      </c>
      <c r="B243" t="s">
        <v>3</v>
      </c>
      <c r="C243">
        <v>0</v>
      </c>
      <c r="D243">
        <v>2</v>
      </c>
      <c r="E243" s="24">
        <v>47774192900</v>
      </c>
      <c r="F243">
        <f t="shared" si="3"/>
        <v>0.8</v>
      </c>
    </row>
    <row r="244" spans="1:6" x14ac:dyDescent="0.3">
      <c r="A244" t="s">
        <v>5</v>
      </c>
      <c r="B244" t="s">
        <v>3</v>
      </c>
      <c r="C244">
        <v>0</v>
      </c>
      <c r="D244">
        <v>2</v>
      </c>
      <c r="E244" s="24">
        <v>52725644500</v>
      </c>
      <c r="F244">
        <f t="shared" si="3"/>
        <v>0.9</v>
      </c>
    </row>
    <row r="245" spans="1:6" x14ac:dyDescent="0.3">
      <c r="A245" t="s">
        <v>5</v>
      </c>
      <c r="B245" t="s">
        <v>3</v>
      </c>
      <c r="C245">
        <v>0</v>
      </c>
      <c r="D245">
        <v>2</v>
      </c>
      <c r="E245" s="24">
        <v>61052311200</v>
      </c>
      <c r="F245">
        <f t="shared" si="3"/>
        <v>1</v>
      </c>
    </row>
    <row r="246" spans="1:6" x14ac:dyDescent="0.3">
      <c r="A246" t="s">
        <v>5</v>
      </c>
      <c r="B246" t="s">
        <v>3</v>
      </c>
      <c r="C246">
        <v>0</v>
      </c>
      <c r="D246">
        <v>2</v>
      </c>
      <c r="E246" s="24">
        <v>50665948500</v>
      </c>
      <c r="F246">
        <f t="shared" si="3"/>
        <v>0.8</v>
      </c>
    </row>
    <row r="247" spans="1:6" x14ac:dyDescent="0.3">
      <c r="A247" t="s">
        <v>5</v>
      </c>
      <c r="B247" t="s">
        <v>3</v>
      </c>
      <c r="C247">
        <v>0</v>
      </c>
      <c r="D247">
        <v>2</v>
      </c>
      <c r="E247" s="24">
        <v>45946327400</v>
      </c>
      <c r="F247">
        <f t="shared" si="3"/>
        <v>0.8</v>
      </c>
    </row>
    <row r="248" spans="1:6" x14ac:dyDescent="0.3">
      <c r="A248" t="s">
        <v>5</v>
      </c>
      <c r="B248" t="s">
        <v>3</v>
      </c>
      <c r="C248">
        <v>0</v>
      </c>
      <c r="D248">
        <v>2</v>
      </c>
      <c r="E248" s="24">
        <v>47705829200</v>
      </c>
      <c r="F248">
        <f t="shared" si="3"/>
        <v>0.8</v>
      </c>
    </row>
    <row r="249" spans="1:6" x14ac:dyDescent="0.3">
      <c r="A249" t="s">
        <v>5</v>
      </c>
      <c r="B249" t="s">
        <v>3</v>
      </c>
      <c r="C249">
        <v>0</v>
      </c>
      <c r="D249">
        <v>2</v>
      </c>
      <c r="E249" s="24">
        <v>49627693500</v>
      </c>
      <c r="F249">
        <f t="shared" si="3"/>
        <v>0.8</v>
      </c>
    </row>
    <row r="250" spans="1:6" x14ac:dyDescent="0.3">
      <c r="A250" t="s">
        <v>5</v>
      </c>
      <c r="B250" t="s">
        <v>3</v>
      </c>
      <c r="C250">
        <v>0</v>
      </c>
      <c r="D250">
        <v>2</v>
      </c>
      <c r="E250" s="24">
        <v>123708041200</v>
      </c>
      <c r="F250">
        <f t="shared" si="3"/>
        <v>2.1</v>
      </c>
    </row>
    <row r="251" spans="1:6" x14ac:dyDescent="0.3">
      <c r="A251" t="s">
        <v>5</v>
      </c>
      <c r="B251" t="s">
        <v>3</v>
      </c>
      <c r="C251">
        <v>0</v>
      </c>
      <c r="D251">
        <v>2</v>
      </c>
      <c r="E251" s="24">
        <v>129137097900</v>
      </c>
      <c r="F251">
        <f t="shared" si="3"/>
        <v>2.2000000000000002</v>
      </c>
    </row>
    <row r="252" spans="1:6" x14ac:dyDescent="0.3">
      <c r="A252" t="s">
        <v>5</v>
      </c>
      <c r="B252" t="s">
        <v>3</v>
      </c>
      <c r="C252">
        <v>0</v>
      </c>
      <c r="D252">
        <v>2</v>
      </c>
      <c r="E252" s="24">
        <v>166940077200</v>
      </c>
      <c r="F252">
        <f t="shared" si="3"/>
        <v>2.8</v>
      </c>
    </row>
    <row r="253" spans="1:6" x14ac:dyDescent="0.3">
      <c r="A253" t="s">
        <v>5</v>
      </c>
      <c r="B253" t="s">
        <v>3</v>
      </c>
      <c r="C253">
        <v>0</v>
      </c>
      <c r="D253">
        <v>2</v>
      </c>
      <c r="E253" s="24">
        <v>111395583300</v>
      </c>
      <c r="F253">
        <f t="shared" si="3"/>
        <v>1.9</v>
      </c>
    </row>
    <row r="254" spans="1:6" x14ac:dyDescent="0.3">
      <c r="A254" t="s">
        <v>5</v>
      </c>
      <c r="B254" t="s">
        <v>3</v>
      </c>
      <c r="C254">
        <v>0</v>
      </c>
      <c r="D254">
        <v>2</v>
      </c>
      <c r="E254" s="24">
        <v>144472023800</v>
      </c>
      <c r="F254">
        <f t="shared" si="3"/>
        <v>2.4</v>
      </c>
    </row>
    <row r="255" spans="1:6" x14ac:dyDescent="0.3">
      <c r="A255" t="s">
        <v>5</v>
      </c>
      <c r="B255" t="s">
        <v>3</v>
      </c>
      <c r="C255">
        <v>0</v>
      </c>
      <c r="D255">
        <v>2</v>
      </c>
      <c r="E255" s="24">
        <v>126612438600</v>
      </c>
      <c r="F255">
        <f t="shared" si="3"/>
        <v>2.1</v>
      </c>
    </row>
    <row r="256" spans="1:6" x14ac:dyDescent="0.3">
      <c r="A256" t="s">
        <v>5</v>
      </c>
      <c r="B256" t="s">
        <v>3</v>
      </c>
      <c r="C256">
        <v>0</v>
      </c>
      <c r="D256">
        <v>2</v>
      </c>
      <c r="E256" s="24">
        <v>104571583300</v>
      </c>
      <c r="F256">
        <f t="shared" si="3"/>
        <v>1.7</v>
      </c>
    </row>
    <row r="257" spans="1:6" x14ac:dyDescent="0.3">
      <c r="A257" t="s">
        <v>5</v>
      </c>
      <c r="B257" t="s">
        <v>3</v>
      </c>
      <c r="C257">
        <v>0</v>
      </c>
      <c r="D257">
        <v>2</v>
      </c>
      <c r="E257" s="24">
        <v>125516275100</v>
      </c>
      <c r="F257">
        <f t="shared" si="3"/>
        <v>2.1</v>
      </c>
    </row>
    <row r="258" spans="1:6" x14ac:dyDescent="0.3">
      <c r="A258" t="s">
        <v>5</v>
      </c>
      <c r="B258" t="s">
        <v>3</v>
      </c>
      <c r="C258">
        <v>0</v>
      </c>
      <c r="D258">
        <v>2</v>
      </c>
      <c r="E258" s="24">
        <v>171293789700</v>
      </c>
      <c r="F258">
        <f t="shared" ref="F258:F321" si="4">ROUND(E258/60000000000, 1)</f>
        <v>2.9</v>
      </c>
    </row>
    <row r="259" spans="1:6" x14ac:dyDescent="0.3">
      <c r="A259" t="s">
        <v>5</v>
      </c>
      <c r="B259" t="s">
        <v>3</v>
      </c>
      <c r="C259">
        <v>0</v>
      </c>
      <c r="D259">
        <v>2</v>
      </c>
      <c r="E259" s="24">
        <v>147220331300</v>
      </c>
      <c r="F259">
        <f t="shared" si="4"/>
        <v>2.5</v>
      </c>
    </row>
    <row r="260" spans="1:6" x14ac:dyDescent="0.3">
      <c r="A260" t="s">
        <v>5</v>
      </c>
      <c r="B260" t="s">
        <v>8</v>
      </c>
      <c r="C260">
        <v>0</v>
      </c>
      <c r="D260">
        <v>2</v>
      </c>
      <c r="E260" s="24">
        <v>4335913036900</v>
      </c>
      <c r="F260">
        <f t="shared" si="4"/>
        <v>72.3</v>
      </c>
    </row>
    <row r="261" spans="1:6" x14ac:dyDescent="0.3">
      <c r="A261" t="s">
        <v>5</v>
      </c>
      <c r="B261" t="s">
        <v>8</v>
      </c>
      <c r="C261">
        <v>0</v>
      </c>
      <c r="D261">
        <v>2</v>
      </c>
      <c r="E261" s="24">
        <v>7892300700599</v>
      </c>
      <c r="F261">
        <f t="shared" si="4"/>
        <v>131.5</v>
      </c>
    </row>
    <row r="262" spans="1:6" x14ac:dyDescent="0.3">
      <c r="A262" t="s">
        <v>5</v>
      </c>
      <c r="B262" t="s">
        <v>1</v>
      </c>
      <c r="C262">
        <v>0</v>
      </c>
      <c r="D262">
        <v>2</v>
      </c>
      <c r="E262" s="24">
        <v>103065769900</v>
      </c>
      <c r="F262">
        <f t="shared" si="4"/>
        <v>1.7</v>
      </c>
    </row>
    <row r="263" spans="1:6" x14ac:dyDescent="0.3">
      <c r="A263" t="s">
        <v>5</v>
      </c>
      <c r="B263" t="s">
        <v>1</v>
      </c>
      <c r="C263">
        <v>0</v>
      </c>
      <c r="D263">
        <v>2</v>
      </c>
      <c r="E263" s="24">
        <v>142051684100</v>
      </c>
      <c r="F263">
        <f t="shared" si="4"/>
        <v>2.4</v>
      </c>
    </row>
    <row r="264" spans="1:6" x14ac:dyDescent="0.3">
      <c r="A264" t="s">
        <v>5</v>
      </c>
      <c r="B264" t="s">
        <v>1</v>
      </c>
      <c r="C264">
        <v>0</v>
      </c>
      <c r="D264">
        <v>2</v>
      </c>
      <c r="E264" s="24">
        <v>106181916000</v>
      </c>
      <c r="F264">
        <f t="shared" si="4"/>
        <v>1.8</v>
      </c>
    </row>
    <row r="265" spans="1:6" x14ac:dyDescent="0.3">
      <c r="A265" t="s">
        <v>5</v>
      </c>
      <c r="B265" t="s">
        <v>1</v>
      </c>
      <c r="C265">
        <v>0</v>
      </c>
      <c r="D265">
        <v>2</v>
      </c>
      <c r="E265" s="24">
        <v>129836683300</v>
      </c>
      <c r="F265">
        <f t="shared" si="4"/>
        <v>2.2000000000000002</v>
      </c>
    </row>
    <row r="266" spans="1:6" x14ac:dyDescent="0.3">
      <c r="A266" t="s">
        <v>5</v>
      </c>
      <c r="B266" t="s">
        <v>1</v>
      </c>
      <c r="C266">
        <v>0</v>
      </c>
      <c r="D266">
        <v>2</v>
      </c>
      <c r="E266" s="24">
        <v>102313882700</v>
      </c>
      <c r="F266">
        <f t="shared" si="4"/>
        <v>1.7</v>
      </c>
    </row>
    <row r="267" spans="1:6" x14ac:dyDescent="0.3">
      <c r="A267" t="s">
        <v>5</v>
      </c>
      <c r="B267" t="s">
        <v>1</v>
      </c>
      <c r="C267">
        <v>0</v>
      </c>
      <c r="D267">
        <v>2</v>
      </c>
      <c r="E267" s="24">
        <v>128722598300</v>
      </c>
      <c r="F267">
        <f t="shared" si="4"/>
        <v>2.1</v>
      </c>
    </row>
    <row r="268" spans="1:6" x14ac:dyDescent="0.3">
      <c r="A268" t="s">
        <v>5</v>
      </c>
      <c r="B268" t="s">
        <v>1</v>
      </c>
      <c r="C268">
        <v>0</v>
      </c>
      <c r="D268">
        <v>2</v>
      </c>
      <c r="E268" s="24">
        <v>91845017500</v>
      </c>
      <c r="F268">
        <f t="shared" si="4"/>
        <v>1.5</v>
      </c>
    </row>
    <row r="269" spans="1:6" x14ac:dyDescent="0.3">
      <c r="A269" t="s">
        <v>5</v>
      </c>
      <c r="B269" t="s">
        <v>1</v>
      </c>
      <c r="C269">
        <v>1</v>
      </c>
      <c r="D269">
        <v>2</v>
      </c>
      <c r="E269" s="24">
        <v>260986327700</v>
      </c>
      <c r="F269">
        <f t="shared" si="4"/>
        <v>4.3</v>
      </c>
    </row>
    <row r="270" spans="1:6" x14ac:dyDescent="0.3">
      <c r="A270" t="s">
        <v>5</v>
      </c>
      <c r="B270" t="s">
        <v>1</v>
      </c>
      <c r="C270">
        <v>0</v>
      </c>
      <c r="D270">
        <v>2</v>
      </c>
      <c r="E270" s="24">
        <v>44558241601</v>
      </c>
      <c r="F270">
        <f t="shared" si="4"/>
        <v>0.7</v>
      </c>
    </row>
    <row r="271" spans="1:6" x14ac:dyDescent="0.3">
      <c r="A271" t="s">
        <v>5</v>
      </c>
      <c r="B271" t="s">
        <v>1</v>
      </c>
      <c r="C271">
        <v>0</v>
      </c>
      <c r="D271">
        <v>2</v>
      </c>
      <c r="E271" s="24">
        <v>139908893900</v>
      </c>
      <c r="F271">
        <f t="shared" si="4"/>
        <v>2.2999999999999998</v>
      </c>
    </row>
    <row r="272" spans="1:6" x14ac:dyDescent="0.3">
      <c r="A272" t="s">
        <v>5</v>
      </c>
      <c r="B272" t="s">
        <v>1</v>
      </c>
      <c r="C272">
        <v>0</v>
      </c>
      <c r="D272">
        <v>2</v>
      </c>
      <c r="E272" s="24">
        <v>58598271000</v>
      </c>
      <c r="F272">
        <f t="shared" si="4"/>
        <v>1</v>
      </c>
    </row>
    <row r="273" spans="1:6" x14ac:dyDescent="0.3">
      <c r="A273" t="s">
        <v>5</v>
      </c>
      <c r="B273" t="s">
        <v>1</v>
      </c>
      <c r="C273">
        <v>0</v>
      </c>
      <c r="D273">
        <v>2</v>
      </c>
      <c r="E273" s="24">
        <v>38372041200</v>
      </c>
      <c r="F273">
        <f t="shared" si="4"/>
        <v>0.6</v>
      </c>
    </row>
    <row r="274" spans="1:6" x14ac:dyDescent="0.3">
      <c r="A274" t="s">
        <v>5</v>
      </c>
      <c r="B274" t="s">
        <v>1</v>
      </c>
      <c r="C274">
        <v>0</v>
      </c>
      <c r="D274">
        <v>2</v>
      </c>
      <c r="E274" s="24">
        <v>30813750500</v>
      </c>
      <c r="F274">
        <f t="shared" si="4"/>
        <v>0.5</v>
      </c>
    </row>
    <row r="275" spans="1:6" x14ac:dyDescent="0.3">
      <c r="A275" t="s">
        <v>5</v>
      </c>
      <c r="B275" t="s">
        <v>1</v>
      </c>
      <c r="C275">
        <v>0</v>
      </c>
      <c r="D275">
        <v>2</v>
      </c>
      <c r="E275" s="24">
        <v>33763307600</v>
      </c>
      <c r="F275">
        <f t="shared" si="4"/>
        <v>0.6</v>
      </c>
    </row>
    <row r="276" spans="1:6" x14ac:dyDescent="0.3">
      <c r="A276" t="s">
        <v>5</v>
      </c>
      <c r="B276" t="s">
        <v>1</v>
      </c>
      <c r="C276">
        <v>0</v>
      </c>
      <c r="D276">
        <v>2</v>
      </c>
      <c r="E276" s="24">
        <v>43054392800</v>
      </c>
      <c r="F276">
        <f t="shared" si="4"/>
        <v>0.7</v>
      </c>
    </row>
    <row r="277" spans="1:6" x14ac:dyDescent="0.3">
      <c r="A277" t="s">
        <v>5</v>
      </c>
      <c r="B277" t="s">
        <v>1</v>
      </c>
      <c r="C277">
        <v>0</v>
      </c>
      <c r="D277">
        <v>2</v>
      </c>
      <c r="E277" s="24">
        <v>37712142300</v>
      </c>
      <c r="F277">
        <f t="shared" si="4"/>
        <v>0.6</v>
      </c>
    </row>
    <row r="278" spans="1:6" x14ac:dyDescent="0.3">
      <c r="A278" t="s">
        <v>5</v>
      </c>
      <c r="B278" t="s">
        <v>1</v>
      </c>
      <c r="C278">
        <v>0</v>
      </c>
      <c r="D278">
        <v>2</v>
      </c>
      <c r="E278" s="24">
        <v>74017060300</v>
      </c>
      <c r="F278">
        <f t="shared" si="4"/>
        <v>1.2</v>
      </c>
    </row>
    <row r="279" spans="1:6" x14ac:dyDescent="0.3">
      <c r="A279" t="s">
        <v>5</v>
      </c>
      <c r="B279" t="s">
        <v>1</v>
      </c>
      <c r="C279">
        <v>0</v>
      </c>
      <c r="D279">
        <v>2</v>
      </c>
      <c r="E279" s="24">
        <v>97332346800</v>
      </c>
      <c r="F279">
        <f t="shared" si="4"/>
        <v>1.6</v>
      </c>
    </row>
    <row r="280" spans="1:6" x14ac:dyDescent="0.3">
      <c r="A280" t="s">
        <v>5</v>
      </c>
      <c r="B280" t="s">
        <v>1</v>
      </c>
      <c r="C280">
        <v>0</v>
      </c>
      <c r="D280">
        <v>2</v>
      </c>
      <c r="E280" s="24">
        <v>127646485300</v>
      </c>
      <c r="F280">
        <f t="shared" si="4"/>
        <v>2.1</v>
      </c>
    </row>
    <row r="281" spans="1:6" x14ac:dyDescent="0.3">
      <c r="A281" t="s">
        <v>5</v>
      </c>
      <c r="B281" t="s">
        <v>1</v>
      </c>
      <c r="C281">
        <v>0</v>
      </c>
      <c r="D281">
        <v>2</v>
      </c>
      <c r="E281" s="24">
        <v>98739588600</v>
      </c>
      <c r="F281">
        <f t="shared" si="4"/>
        <v>1.6</v>
      </c>
    </row>
    <row r="282" spans="1:6" x14ac:dyDescent="0.3">
      <c r="A282" t="s">
        <v>5</v>
      </c>
      <c r="B282" t="s">
        <v>1</v>
      </c>
      <c r="C282">
        <v>0</v>
      </c>
      <c r="D282">
        <v>2</v>
      </c>
      <c r="E282" s="24">
        <v>122821914300</v>
      </c>
      <c r="F282">
        <f t="shared" si="4"/>
        <v>2</v>
      </c>
    </row>
    <row r="283" spans="1:6" x14ac:dyDescent="0.3">
      <c r="A283" t="s">
        <v>5</v>
      </c>
      <c r="B283" t="s">
        <v>1</v>
      </c>
      <c r="C283">
        <v>0</v>
      </c>
      <c r="D283">
        <v>2</v>
      </c>
      <c r="E283" s="24">
        <v>89819548600</v>
      </c>
      <c r="F283">
        <f t="shared" si="4"/>
        <v>1.5</v>
      </c>
    </row>
    <row r="284" spans="1:6" x14ac:dyDescent="0.3">
      <c r="A284" t="s">
        <v>5</v>
      </c>
      <c r="B284" t="s">
        <v>1</v>
      </c>
      <c r="C284">
        <v>0</v>
      </c>
      <c r="D284">
        <v>2</v>
      </c>
      <c r="E284" s="24">
        <v>114827871300</v>
      </c>
      <c r="F284">
        <f t="shared" si="4"/>
        <v>1.9</v>
      </c>
    </row>
    <row r="285" spans="1:6" x14ac:dyDescent="0.3">
      <c r="A285" t="s">
        <v>5</v>
      </c>
      <c r="B285" t="s">
        <v>1</v>
      </c>
      <c r="C285">
        <v>0</v>
      </c>
      <c r="D285">
        <v>2</v>
      </c>
      <c r="E285" s="24">
        <v>97394224800</v>
      </c>
      <c r="F285">
        <f t="shared" si="4"/>
        <v>1.6</v>
      </c>
    </row>
    <row r="286" spans="1:6" x14ac:dyDescent="0.3">
      <c r="A286" t="s">
        <v>5</v>
      </c>
      <c r="B286" t="s">
        <v>1</v>
      </c>
      <c r="C286">
        <v>0</v>
      </c>
      <c r="D286">
        <v>2</v>
      </c>
      <c r="E286" s="24">
        <v>136139474900</v>
      </c>
      <c r="F286">
        <f t="shared" si="4"/>
        <v>2.2999999999999998</v>
      </c>
    </row>
    <row r="287" spans="1:6" x14ac:dyDescent="0.3">
      <c r="A287" t="s">
        <v>5</v>
      </c>
      <c r="B287" t="s">
        <v>1</v>
      </c>
      <c r="C287">
        <v>0</v>
      </c>
      <c r="D287">
        <v>2</v>
      </c>
      <c r="E287" s="24">
        <v>152981664500</v>
      </c>
      <c r="F287">
        <f t="shared" si="4"/>
        <v>2.5</v>
      </c>
    </row>
    <row r="288" spans="1:6" x14ac:dyDescent="0.3">
      <c r="A288" t="s">
        <v>5</v>
      </c>
      <c r="B288" t="s">
        <v>2</v>
      </c>
      <c r="C288">
        <v>1</v>
      </c>
      <c r="D288">
        <v>2</v>
      </c>
      <c r="E288" s="24">
        <v>30420123800</v>
      </c>
      <c r="F288">
        <f t="shared" si="4"/>
        <v>0.5</v>
      </c>
    </row>
    <row r="289" spans="1:6" x14ac:dyDescent="0.3">
      <c r="A289" t="s">
        <v>5</v>
      </c>
      <c r="B289" t="s">
        <v>2</v>
      </c>
      <c r="C289">
        <v>1</v>
      </c>
      <c r="D289">
        <v>2</v>
      </c>
      <c r="E289" s="24">
        <v>30281816700</v>
      </c>
      <c r="F289">
        <f t="shared" si="4"/>
        <v>0.5</v>
      </c>
    </row>
    <row r="290" spans="1:6" x14ac:dyDescent="0.3">
      <c r="A290" t="s">
        <v>5</v>
      </c>
      <c r="B290" t="s">
        <v>2</v>
      </c>
      <c r="C290">
        <v>1</v>
      </c>
      <c r="D290">
        <v>2</v>
      </c>
      <c r="E290" s="24">
        <v>27309952800</v>
      </c>
      <c r="F290">
        <f t="shared" si="4"/>
        <v>0.5</v>
      </c>
    </row>
    <row r="291" spans="1:6" x14ac:dyDescent="0.3">
      <c r="A291" t="s">
        <v>5</v>
      </c>
      <c r="B291" t="s">
        <v>2</v>
      </c>
      <c r="C291">
        <v>1</v>
      </c>
      <c r="D291">
        <v>2</v>
      </c>
      <c r="E291" s="24">
        <v>26632650200</v>
      </c>
      <c r="F291">
        <f t="shared" si="4"/>
        <v>0.4</v>
      </c>
    </row>
    <row r="292" spans="1:6" x14ac:dyDescent="0.3">
      <c r="A292" t="s">
        <v>5</v>
      </c>
      <c r="B292" t="s">
        <v>2</v>
      </c>
      <c r="C292">
        <v>1</v>
      </c>
      <c r="D292">
        <v>2</v>
      </c>
      <c r="E292" s="24">
        <v>34353443100</v>
      </c>
      <c r="F292">
        <f t="shared" si="4"/>
        <v>0.6</v>
      </c>
    </row>
    <row r="293" spans="1:6" x14ac:dyDescent="0.3">
      <c r="A293" t="s">
        <v>5</v>
      </c>
      <c r="B293" t="s">
        <v>2</v>
      </c>
      <c r="C293">
        <v>1</v>
      </c>
      <c r="D293">
        <v>2</v>
      </c>
      <c r="E293" s="24">
        <v>32614400100</v>
      </c>
      <c r="F293">
        <f t="shared" si="4"/>
        <v>0.5</v>
      </c>
    </row>
    <row r="294" spans="1:6" x14ac:dyDescent="0.3">
      <c r="A294" t="s">
        <v>5</v>
      </c>
      <c r="B294" t="s">
        <v>2</v>
      </c>
      <c r="C294">
        <v>1</v>
      </c>
      <c r="D294">
        <v>2</v>
      </c>
      <c r="E294" s="24">
        <v>33211396600</v>
      </c>
      <c r="F294">
        <f t="shared" si="4"/>
        <v>0.6</v>
      </c>
    </row>
    <row r="295" spans="1:6" x14ac:dyDescent="0.3">
      <c r="A295" t="s">
        <v>5</v>
      </c>
      <c r="B295" t="s">
        <v>2</v>
      </c>
      <c r="C295">
        <v>1</v>
      </c>
      <c r="D295">
        <v>2</v>
      </c>
      <c r="E295" s="24">
        <v>31897728800</v>
      </c>
      <c r="F295">
        <f t="shared" si="4"/>
        <v>0.5</v>
      </c>
    </row>
    <row r="296" spans="1:6" x14ac:dyDescent="0.3">
      <c r="A296" t="s">
        <v>5</v>
      </c>
      <c r="B296" t="s">
        <v>2</v>
      </c>
      <c r="C296">
        <v>1</v>
      </c>
      <c r="D296">
        <v>2</v>
      </c>
      <c r="E296" s="24">
        <v>24671322000</v>
      </c>
      <c r="F296">
        <f t="shared" si="4"/>
        <v>0.4</v>
      </c>
    </row>
    <row r="297" spans="1:6" x14ac:dyDescent="0.3">
      <c r="A297" t="s">
        <v>5</v>
      </c>
      <c r="B297" t="s">
        <v>2</v>
      </c>
      <c r="C297">
        <v>1</v>
      </c>
      <c r="D297">
        <v>2</v>
      </c>
      <c r="E297" s="24">
        <v>33954685200</v>
      </c>
      <c r="F297">
        <f t="shared" si="4"/>
        <v>0.6</v>
      </c>
    </row>
    <row r="298" spans="1:6" x14ac:dyDescent="0.3">
      <c r="A298" t="s">
        <v>5</v>
      </c>
      <c r="B298" t="s">
        <v>2</v>
      </c>
      <c r="C298">
        <v>1</v>
      </c>
      <c r="D298">
        <v>2</v>
      </c>
      <c r="E298" s="24">
        <v>81268336800</v>
      </c>
      <c r="F298">
        <f t="shared" si="4"/>
        <v>1.4</v>
      </c>
    </row>
    <row r="299" spans="1:6" x14ac:dyDescent="0.3">
      <c r="A299" t="s">
        <v>5</v>
      </c>
      <c r="B299" t="s">
        <v>2</v>
      </c>
      <c r="C299">
        <v>1</v>
      </c>
      <c r="D299">
        <v>2</v>
      </c>
      <c r="E299" s="24">
        <v>77035253100</v>
      </c>
      <c r="F299">
        <f t="shared" si="4"/>
        <v>1.3</v>
      </c>
    </row>
    <row r="300" spans="1:6" x14ac:dyDescent="0.3">
      <c r="A300" t="s">
        <v>5</v>
      </c>
      <c r="B300" t="s">
        <v>2</v>
      </c>
      <c r="C300">
        <v>1</v>
      </c>
      <c r="D300">
        <v>2</v>
      </c>
      <c r="E300" s="24">
        <v>73094492100</v>
      </c>
      <c r="F300">
        <f t="shared" si="4"/>
        <v>1.2</v>
      </c>
    </row>
    <row r="301" spans="1:6" x14ac:dyDescent="0.3">
      <c r="A301" t="s">
        <v>5</v>
      </c>
      <c r="B301" t="s">
        <v>2</v>
      </c>
      <c r="C301">
        <v>1</v>
      </c>
      <c r="D301">
        <v>2</v>
      </c>
      <c r="E301" s="24">
        <v>114557456900</v>
      </c>
      <c r="F301">
        <f t="shared" si="4"/>
        <v>1.9</v>
      </c>
    </row>
    <row r="302" spans="1:6" x14ac:dyDescent="0.3">
      <c r="A302" t="s">
        <v>5</v>
      </c>
      <c r="B302" t="s">
        <v>2</v>
      </c>
      <c r="C302">
        <v>1</v>
      </c>
      <c r="D302">
        <v>2</v>
      </c>
      <c r="E302" s="24">
        <v>104363402700</v>
      </c>
      <c r="F302">
        <f t="shared" si="4"/>
        <v>1.7</v>
      </c>
    </row>
    <row r="303" spans="1:6" x14ac:dyDescent="0.3">
      <c r="A303" t="s">
        <v>5</v>
      </c>
      <c r="B303" t="s">
        <v>2</v>
      </c>
      <c r="C303">
        <v>1</v>
      </c>
      <c r="D303">
        <v>2</v>
      </c>
      <c r="E303" s="24">
        <v>110473744300</v>
      </c>
      <c r="F303">
        <f t="shared" si="4"/>
        <v>1.8</v>
      </c>
    </row>
    <row r="304" spans="1:6" x14ac:dyDescent="0.3">
      <c r="A304" t="s">
        <v>5</v>
      </c>
      <c r="B304" t="s">
        <v>10</v>
      </c>
      <c r="C304">
        <v>1</v>
      </c>
      <c r="D304">
        <v>2</v>
      </c>
      <c r="E304" s="24">
        <v>87079606500</v>
      </c>
      <c r="F304">
        <f t="shared" si="4"/>
        <v>1.5</v>
      </c>
    </row>
    <row r="305" spans="1:6" x14ac:dyDescent="0.3">
      <c r="A305" t="s">
        <v>5</v>
      </c>
      <c r="B305" t="s">
        <v>10</v>
      </c>
      <c r="C305">
        <v>1</v>
      </c>
      <c r="D305">
        <v>2</v>
      </c>
      <c r="E305" s="24">
        <v>81647757899</v>
      </c>
      <c r="F305">
        <f t="shared" si="4"/>
        <v>1.4</v>
      </c>
    </row>
    <row r="306" spans="1:6" x14ac:dyDescent="0.3">
      <c r="A306" t="s">
        <v>5</v>
      </c>
      <c r="B306" t="s">
        <v>10</v>
      </c>
      <c r="C306">
        <v>1</v>
      </c>
      <c r="D306">
        <v>2</v>
      </c>
      <c r="E306" s="24">
        <v>82524327400</v>
      </c>
      <c r="F306">
        <f t="shared" si="4"/>
        <v>1.4</v>
      </c>
    </row>
    <row r="307" spans="1:6" x14ac:dyDescent="0.3">
      <c r="A307" t="s">
        <v>5</v>
      </c>
      <c r="B307" t="s">
        <v>10</v>
      </c>
      <c r="C307">
        <v>1</v>
      </c>
      <c r="D307">
        <v>2</v>
      </c>
      <c r="E307" s="24">
        <v>96356030900</v>
      </c>
      <c r="F307">
        <f t="shared" si="4"/>
        <v>1.6</v>
      </c>
    </row>
    <row r="308" spans="1:6" x14ac:dyDescent="0.3">
      <c r="A308" t="s">
        <v>5</v>
      </c>
      <c r="B308" t="s">
        <v>10</v>
      </c>
      <c r="C308">
        <v>1</v>
      </c>
      <c r="D308">
        <v>2</v>
      </c>
      <c r="E308" s="24">
        <v>79415022900</v>
      </c>
      <c r="F308">
        <f t="shared" si="4"/>
        <v>1.3</v>
      </c>
    </row>
    <row r="309" spans="1:6" x14ac:dyDescent="0.3">
      <c r="A309" t="s">
        <v>5</v>
      </c>
      <c r="B309" t="s">
        <v>10</v>
      </c>
      <c r="C309">
        <v>1</v>
      </c>
      <c r="D309">
        <v>2</v>
      </c>
      <c r="E309" s="24">
        <v>89708184900</v>
      </c>
      <c r="F309">
        <f t="shared" si="4"/>
        <v>1.5</v>
      </c>
    </row>
    <row r="310" spans="1:6" x14ac:dyDescent="0.3">
      <c r="A310" t="s">
        <v>5</v>
      </c>
      <c r="B310" t="s">
        <v>10</v>
      </c>
      <c r="C310">
        <v>1</v>
      </c>
      <c r="D310">
        <v>2</v>
      </c>
      <c r="E310" s="24">
        <v>104902898400</v>
      </c>
      <c r="F310">
        <f t="shared" si="4"/>
        <v>1.7</v>
      </c>
    </row>
    <row r="311" spans="1:6" x14ac:dyDescent="0.3">
      <c r="A311" t="s">
        <v>5</v>
      </c>
      <c r="B311" t="s">
        <v>10</v>
      </c>
      <c r="C311">
        <v>1</v>
      </c>
      <c r="D311">
        <v>2</v>
      </c>
      <c r="E311" s="24">
        <v>114143348100</v>
      </c>
      <c r="F311">
        <f t="shared" si="4"/>
        <v>1.9</v>
      </c>
    </row>
    <row r="312" spans="1:6" x14ac:dyDescent="0.3">
      <c r="A312" t="s">
        <v>5</v>
      </c>
      <c r="B312" t="s">
        <v>10</v>
      </c>
      <c r="C312">
        <v>1</v>
      </c>
      <c r="D312">
        <v>2</v>
      </c>
      <c r="E312" s="24">
        <v>91518548100</v>
      </c>
      <c r="F312">
        <f t="shared" si="4"/>
        <v>1.5</v>
      </c>
    </row>
    <row r="313" spans="1:6" x14ac:dyDescent="0.3">
      <c r="A313" t="s">
        <v>5</v>
      </c>
      <c r="B313" t="s">
        <v>10</v>
      </c>
      <c r="C313">
        <v>1</v>
      </c>
      <c r="D313">
        <v>2</v>
      </c>
      <c r="E313" s="24">
        <v>37320018600</v>
      </c>
      <c r="F313">
        <f t="shared" si="4"/>
        <v>0.6</v>
      </c>
    </row>
    <row r="314" spans="1:6" x14ac:dyDescent="0.3">
      <c r="A314" t="s">
        <v>5</v>
      </c>
      <c r="B314" t="s">
        <v>10</v>
      </c>
      <c r="C314">
        <v>1</v>
      </c>
      <c r="D314">
        <v>2</v>
      </c>
      <c r="E314" s="24">
        <v>33244600600</v>
      </c>
      <c r="F314">
        <f t="shared" si="4"/>
        <v>0.6</v>
      </c>
    </row>
    <row r="315" spans="1:6" x14ac:dyDescent="0.3">
      <c r="A315" t="s">
        <v>5</v>
      </c>
      <c r="B315" t="s">
        <v>10</v>
      </c>
      <c r="C315">
        <v>1</v>
      </c>
      <c r="D315">
        <v>2</v>
      </c>
      <c r="E315" s="24">
        <v>33423260600</v>
      </c>
      <c r="F315">
        <f t="shared" si="4"/>
        <v>0.6</v>
      </c>
    </row>
    <row r="316" spans="1:6" x14ac:dyDescent="0.3">
      <c r="A316" t="s">
        <v>5</v>
      </c>
      <c r="B316" t="s">
        <v>10</v>
      </c>
      <c r="C316">
        <v>1</v>
      </c>
      <c r="D316">
        <v>2</v>
      </c>
      <c r="E316" s="24">
        <v>30969618400</v>
      </c>
      <c r="F316">
        <f t="shared" si="4"/>
        <v>0.5</v>
      </c>
    </row>
    <row r="317" spans="1:6" x14ac:dyDescent="0.3">
      <c r="A317" t="s">
        <v>5</v>
      </c>
      <c r="B317" t="s">
        <v>10</v>
      </c>
      <c r="C317">
        <v>0</v>
      </c>
      <c r="D317">
        <v>2</v>
      </c>
      <c r="E317" s="24">
        <v>32932236300</v>
      </c>
      <c r="F317">
        <f t="shared" si="4"/>
        <v>0.5</v>
      </c>
    </row>
    <row r="318" spans="1:6" x14ac:dyDescent="0.3">
      <c r="A318" t="s">
        <v>5</v>
      </c>
      <c r="B318" t="s">
        <v>10</v>
      </c>
      <c r="C318">
        <v>0</v>
      </c>
      <c r="D318">
        <v>2</v>
      </c>
      <c r="E318" s="24">
        <v>42553323700</v>
      </c>
      <c r="F318">
        <f t="shared" si="4"/>
        <v>0.7</v>
      </c>
    </row>
    <row r="319" spans="1:6" x14ac:dyDescent="0.3">
      <c r="A319" t="s">
        <v>5</v>
      </c>
      <c r="B319" t="s">
        <v>10</v>
      </c>
      <c r="C319">
        <v>1</v>
      </c>
      <c r="D319">
        <v>2</v>
      </c>
      <c r="E319" s="24">
        <v>37764401300</v>
      </c>
      <c r="F319">
        <f t="shared" si="4"/>
        <v>0.6</v>
      </c>
    </row>
    <row r="320" spans="1:6" x14ac:dyDescent="0.3">
      <c r="A320" t="s">
        <v>5</v>
      </c>
      <c r="B320" t="s">
        <v>10</v>
      </c>
      <c r="C320">
        <v>1</v>
      </c>
      <c r="D320">
        <v>2</v>
      </c>
      <c r="E320" s="24">
        <v>42670818500</v>
      </c>
      <c r="F320">
        <f t="shared" si="4"/>
        <v>0.7</v>
      </c>
    </row>
    <row r="321" spans="1:6" x14ac:dyDescent="0.3">
      <c r="A321" t="s">
        <v>5</v>
      </c>
      <c r="B321" t="s">
        <v>10</v>
      </c>
      <c r="C321">
        <v>1</v>
      </c>
      <c r="D321">
        <v>2</v>
      </c>
      <c r="E321" s="24">
        <v>35873861900</v>
      </c>
      <c r="F321">
        <f t="shared" si="4"/>
        <v>0.6</v>
      </c>
    </row>
    <row r="322" spans="1:6" x14ac:dyDescent="0.3">
      <c r="A322" t="s">
        <v>5</v>
      </c>
      <c r="B322" t="s">
        <v>10</v>
      </c>
      <c r="C322">
        <v>1</v>
      </c>
      <c r="D322">
        <v>2</v>
      </c>
      <c r="E322" s="24">
        <v>42675557800</v>
      </c>
      <c r="F322">
        <f t="shared" ref="F322:F385" si="5">ROUND(E322/60000000000, 1)</f>
        <v>0.7</v>
      </c>
    </row>
    <row r="323" spans="1:6" x14ac:dyDescent="0.3">
      <c r="A323" t="s">
        <v>5</v>
      </c>
      <c r="B323" t="s">
        <v>10</v>
      </c>
      <c r="C323">
        <v>1</v>
      </c>
      <c r="D323">
        <v>2</v>
      </c>
      <c r="E323" s="24">
        <v>101479085500</v>
      </c>
      <c r="F323">
        <f t="shared" si="5"/>
        <v>1.7</v>
      </c>
    </row>
    <row r="324" spans="1:6" x14ac:dyDescent="0.3">
      <c r="A324" t="s">
        <v>5</v>
      </c>
      <c r="B324" t="s">
        <v>10</v>
      </c>
      <c r="C324">
        <v>1</v>
      </c>
      <c r="D324">
        <v>2</v>
      </c>
      <c r="E324" s="24">
        <v>67777749000</v>
      </c>
      <c r="F324">
        <f t="shared" si="5"/>
        <v>1.1000000000000001</v>
      </c>
    </row>
    <row r="325" spans="1:6" x14ac:dyDescent="0.3">
      <c r="A325" t="s">
        <v>5</v>
      </c>
      <c r="B325" t="s">
        <v>10</v>
      </c>
      <c r="C325">
        <v>1</v>
      </c>
      <c r="D325">
        <v>2</v>
      </c>
      <c r="E325" s="24">
        <v>94163107500</v>
      </c>
      <c r="F325">
        <f t="shared" si="5"/>
        <v>1.6</v>
      </c>
    </row>
    <row r="326" spans="1:6" x14ac:dyDescent="0.3">
      <c r="A326" t="s">
        <v>5</v>
      </c>
      <c r="B326" t="s">
        <v>10</v>
      </c>
      <c r="C326">
        <v>1</v>
      </c>
      <c r="D326">
        <v>2</v>
      </c>
      <c r="E326" s="24">
        <v>88450903100</v>
      </c>
      <c r="F326">
        <f t="shared" si="5"/>
        <v>1.5</v>
      </c>
    </row>
    <row r="327" spans="1:6" x14ac:dyDescent="0.3">
      <c r="A327" t="s">
        <v>5</v>
      </c>
      <c r="B327" t="s">
        <v>10</v>
      </c>
      <c r="C327">
        <v>1</v>
      </c>
      <c r="D327">
        <v>2</v>
      </c>
      <c r="E327" s="24">
        <v>86978856500</v>
      </c>
      <c r="F327">
        <f t="shared" si="5"/>
        <v>1.4</v>
      </c>
    </row>
    <row r="328" spans="1:6" x14ac:dyDescent="0.3">
      <c r="A328" t="s">
        <v>5</v>
      </c>
      <c r="B328" t="s">
        <v>10</v>
      </c>
      <c r="C328">
        <v>1</v>
      </c>
      <c r="D328">
        <v>2</v>
      </c>
      <c r="E328" s="24">
        <v>85281095400</v>
      </c>
      <c r="F328">
        <f t="shared" si="5"/>
        <v>1.4</v>
      </c>
    </row>
    <row r="329" spans="1:6" x14ac:dyDescent="0.3">
      <c r="A329" t="s">
        <v>5</v>
      </c>
      <c r="B329" t="s">
        <v>10</v>
      </c>
      <c r="C329">
        <v>1</v>
      </c>
      <c r="D329">
        <v>2</v>
      </c>
      <c r="E329" s="24">
        <v>88675857400</v>
      </c>
      <c r="F329">
        <f t="shared" si="5"/>
        <v>1.5</v>
      </c>
    </row>
    <row r="330" spans="1:6" x14ac:dyDescent="0.3">
      <c r="A330" t="s">
        <v>5</v>
      </c>
      <c r="B330" t="s">
        <v>10</v>
      </c>
      <c r="C330">
        <v>1</v>
      </c>
      <c r="D330">
        <v>2</v>
      </c>
      <c r="E330" s="24">
        <v>99218981200</v>
      </c>
      <c r="F330">
        <f t="shared" si="5"/>
        <v>1.7</v>
      </c>
    </row>
    <row r="331" spans="1:6" x14ac:dyDescent="0.3">
      <c r="A331" t="s">
        <v>5</v>
      </c>
      <c r="B331" t="s">
        <v>10</v>
      </c>
      <c r="C331">
        <v>1</v>
      </c>
      <c r="D331">
        <v>2</v>
      </c>
      <c r="E331" s="24">
        <v>118165934800</v>
      </c>
      <c r="F331">
        <f t="shared" si="5"/>
        <v>2</v>
      </c>
    </row>
    <row r="332" spans="1:6" x14ac:dyDescent="0.3">
      <c r="A332" t="s">
        <v>5</v>
      </c>
      <c r="B332" t="s">
        <v>10</v>
      </c>
      <c r="C332">
        <v>1</v>
      </c>
      <c r="D332">
        <v>2</v>
      </c>
      <c r="E332" s="24">
        <v>122509972400</v>
      </c>
      <c r="F332">
        <f t="shared" si="5"/>
        <v>2</v>
      </c>
    </row>
    <row r="333" spans="1:6" x14ac:dyDescent="0.3">
      <c r="A333" t="s">
        <v>1</v>
      </c>
      <c r="B333" t="s">
        <v>4</v>
      </c>
      <c r="C333">
        <v>1</v>
      </c>
      <c r="D333">
        <v>2</v>
      </c>
      <c r="E333" s="24">
        <v>16603734400</v>
      </c>
      <c r="F333">
        <f t="shared" si="5"/>
        <v>0.3</v>
      </c>
    </row>
    <row r="334" spans="1:6" x14ac:dyDescent="0.3">
      <c r="A334" t="s">
        <v>1</v>
      </c>
      <c r="B334" t="s">
        <v>4</v>
      </c>
      <c r="C334">
        <v>1</v>
      </c>
      <c r="D334">
        <v>2</v>
      </c>
      <c r="E334" s="24">
        <v>307165262000</v>
      </c>
      <c r="F334">
        <f t="shared" si="5"/>
        <v>5.0999999999999996</v>
      </c>
    </row>
    <row r="335" spans="1:6" x14ac:dyDescent="0.3">
      <c r="A335" t="s">
        <v>1</v>
      </c>
      <c r="B335" t="s">
        <v>4</v>
      </c>
      <c r="C335">
        <v>1</v>
      </c>
      <c r="D335">
        <v>2</v>
      </c>
      <c r="E335" s="24">
        <v>61175532200</v>
      </c>
      <c r="F335">
        <f t="shared" si="5"/>
        <v>1</v>
      </c>
    </row>
    <row r="336" spans="1:6" x14ac:dyDescent="0.3">
      <c r="A336" t="s">
        <v>1</v>
      </c>
      <c r="B336" t="s">
        <v>4</v>
      </c>
      <c r="C336">
        <v>1</v>
      </c>
      <c r="D336">
        <v>2</v>
      </c>
      <c r="E336" s="24">
        <v>95495126600</v>
      </c>
      <c r="F336">
        <f t="shared" si="5"/>
        <v>1.6</v>
      </c>
    </row>
    <row r="337" spans="1:6" x14ac:dyDescent="0.3">
      <c r="A337" t="s">
        <v>1</v>
      </c>
      <c r="B337" t="s">
        <v>4</v>
      </c>
      <c r="C337">
        <v>1</v>
      </c>
      <c r="D337">
        <v>2</v>
      </c>
      <c r="E337" s="24">
        <v>78556006700</v>
      </c>
      <c r="F337">
        <f t="shared" si="5"/>
        <v>1.3</v>
      </c>
    </row>
    <row r="338" spans="1:6" x14ac:dyDescent="0.3">
      <c r="A338" t="s">
        <v>1</v>
      </c>
      <c r="B338" t="s">
        <v>4</v>
      </c>
      <c r="C338">
        <v>1</v>
      </c>
      <c r="D338">
        <v>2</v>
      </c>
      <c r="E338" s="24">
        <v>268348067900</v>
      </c>
      <c r="F338">
        <f t="shared" si="5"/>
        <v>4.5</v>
      </c>
    </row>
    <row r="339" spans="1:6" x14ac:dyDescent="0.3">
      <c r="A339" t="s">
        <v>1</v>
      </c>
      <c r="B339" t="s">
        <v>3</v>
      </c>
      <c r="C339">
        <v>1</v>
      </c>
      <c r="D339">
        <v>2</v>
      </c>
      <c r="E339" s="24">
        <v>4884922400</v>
      </c>
      <c r="F339">
        <f t="shared" si="5"/>
        <v>0.1</v>
      </c>
    </row>
    <row r="340" spans="1:6" x14ac:dyDescent="0.3">
      <c r="A340" t="s">
        <v>1</v>
      </c>
      <c r="B340" t="s">
        <v>3</v>
      </c>
      <c r="C340">
        <v>1</v>
      </c>
      <c r="D340">
        <v>2</v>
      </c>
      <c r="E340" s="24">
        <v>1460378700</v>
      </c>
      <c r="F340">
        <f t="shared" si="5"/>
        <v>0</v>
      </c>
    </row>
    <row r="341" spans="1:6" x14ac:dyDescent="0.3">
      <c r="A341" t="s">
        <v>1</v>
      </c>
      <c r="B341" t="s">
        <v>3</v>
      </c>
      <c r="C341">
        <v>1</v>
      </c>
      <c r="D341">
        <v>2</v>
      </c>
      <c r="E341" s="24">
        <v>3116122300</v>
      </c>
      <c r="F341">
        <f t="shared" si="5"/>
        <v>0.1</v>
      </c>
    </row>
    <row r="342" spans="1:6" x14ac:dyDescent="0.3">
      <c r="A342" t="s">
        <v>1</v>
      </c>
      <c r="B342" t="s">
        <v>3</v>
      </c>
      <c r="C342">
        <v>1</v>
      </c>
      <c r="D342">
        <v>2</v>
      </c>
      <c r="E342" s="24">
        <v>3677553600</v>
      </c>
      <c r="F342">
        <f t="shared" si="5"/>
        <v>0.1</v>
      </c>
    </row>
    <row r="343" spans="1:6" x14ac:dyDescent="0.3">
      <c r="A343" t="s">
        <v>1</v>
      </c>
      <c r="B343" t="s">
        <v>3</v>
      </c>
      <c r="C343">
        <v>1</v>
      </c>
      <c r="D343">
        <v>2</v>
      </c>
      <c r="E343" s="24">
        <v>5283672000</v>
      </c>
      <c r="F343">
        <f t="shared" si="5"/>
        <v>0.1</v>
      </c>
    </row>
    <row r="344" spans="1:6" x14ac:dyDescent="0.3">
      <c r="A344" t="s">
        <v>1</v>
      </c>
      <c r="B344" t="s">
        <v>3</v>
      </c>
      <c r="C344">
        <v>1</v>
      </c>
      <c r="D344">
        <v>2</v>
      </c>
      <c r="E344" s="24">
        <v>3716181800</v>
      </c>
      <c r="F344">
        <f t="shared" si="5"/>
        <v>0.1</v>
      </c>
    </row>
    <row r="345" spans="1:6" x14ac:dyDescent="0.3">
      <c r="A345" t="s">
        <v>1</v>
      </c>
      <c r="B345" t="s">
        <v>5</v>
      </c>
      <c r="C345">
        <v>1</v>
      </c>
      <c r="D345">
        <v>2</v>
      </c>
      <c r="E345" s="24">
        <v>207517283800</v>
      </c>
      <c r="F345">
        <f t="shared" si="5"/>
        <v>3.5</v>
      </c>
    </row>
    <row r="346" spans="1:6" x14ac:dyDescent="0.3">
      <c r="A346" t="s">
        <v>1</v>
      </c>
      <c r="B346" t="s">
        <v>5</v>
      </c>
      <c r="C346">
        <v>1</v>
      </c>
      <c r="D346">
        <v>2</v>
      </c>
      <c r="E346" s="24">
        <v>70801365401</v>
      </c>
      <c r="F346">
        <f t="shared" si="5"/>
        <v>1.2</v>
      </c>
    </row>
    <row r="347" spans="1:6" x14ac:dyDescent="0.3">
      <c r="A347" t="s">
        <v>1</v>
      </c>
      <c r="B347" t="s">
        <v>5</v>
      </c>
      <c r="C347">
        <v>1</v>
      </c>
      <c r="D347">
        <v>2</v>
      </c>
      <c r="E347" s="24">
        <v>95189440800</v>
      </c>
      <c r="F347">
        <f t="shared" si="5"/>
        <v>1.6</v>
      </c>
    </row>
    <row r="348" spans="1:6" x14ac:dyDescent="0.3">
      <c r="A348" t="s">
        <v>1</v>
      </c>
      <c r="B348" t="s">
        <v>5</v>
      </c>
      <c r="C348">
        <v>1</v>
      </c>
      <c r="D348">
        <v>2</v>
      </c>
      <c r="E348" s="24">
        <v>104543345300</v>
      </c>
      <c r="F348">
        <f t="shared" si="5"/>
        <v>1.7</v>
      </c>
    </row>
    <row r="349" spans="1:6" x14ac:dyDescent="0.3">
      <c r="A349" t="s">
        <v>1</v>
      </c>
      <c r="B349" t="s">
        <v>5</v>
      </c>
      <c r="C349">
        <v>1</v>
      </c>
      <c r="D349">
        <v>2</v>
      </c>
      <c r="E349" s="24">
        <v>133589812600</v>
      </c>
      <c r="F349">
        <f t="shared" si="5"/>
        <v>2.2000000000000002</v>
      </c>
    </row>
    <row r="350" spans="1:6" x14ac:dyDescent="0.3">
      <c r="A350" t="s">
        <v>1</v>
      </c>
      <c r="B350" t="s">
        <v>5</v>
      </c>
      <c r="C350">
        <v>1</v>
      </c>
      <c r="D350">
        <v>2</v>
      </c>
      <c r="E350" s="24">
        <v>118281340100</v>
      </c>
      <c r="F350">
        <f t="shared" si="5"/>
        <v>2</v>
      </c>
    </row>
    <row r="351" spans="1:6" x14ac:dyDescent="0.3">
      <c r="A351" t="s">
        <v>1</v>
      </c>
      <c r="B351" t="s">
        <v>5</v>
      </c>
      <c r="C351">
        <v>1</v>
      </c>
      <c r="D351">
        <v>2</v>
      </c>
      <c r="E351" s="24">
        <v>93438573000</v>
      </c>
      <c r="F351">
        <f t="shared" si="5"/>
        <v>1.6</v>
      </c>
    </row>
    <row r="352" spans="1:6" x14ac:dyDescent="0.3">
      <c r="A352" t="s">
        <v>1</v>
      </c>
      <c r="B352" t="s">
        <v>5</v>
      </c>
      <c r="C352">
        <v>1</v>
      </c>
      <c r="D352">
        <v>2</v>
      </c>
      <c r="E352" s="24">
        <v>113301537100</v>
      </c>
      <c r="F352">
        <f t="shared" si="5"/>
        <v>1.9</v>
      </c>
    </row>
    <row r="353" spans="1:6" x14ac:dyDescent="0.3">
      <c r="A353" t="s">
        <v>1</v>
      </c>
      <c r="B353" t="s">
        <v>5</v>
      </c>
      <c r="C353">
        <v>1</v>
      </c>
      <c r="D353">
        <v>2</v>
      </c>
      <c r="E353" s="24">
        <v>40959041700</v>
      </c>
      <c r="F353">
        <f t="shared" si="5"/>
        <v>0.7</v>
      </c>
    </row>
    <row r="354" spans="1:6" x14ac:dyDescent="0.3">
      <c r="A354" t="s">
        <v>1</v>
      </c>
      <c r="B354" t="s">
        <v>5</v>
      </c>
      <c r="C354">
        <v>1</v>
      </c>
      <c r="D354">
        <v>2</v>
      </c>
      <c r="E354" s="24">
        <v>40592949800</v>
      </c>
      <c r="F354">
        <f t="shared" si="5"/>
        <v>0.7</v>
      </c>
    </row>
    <row r="355" spans="1:6" x14ac:dyDescent="0.3">
      <c r="A355" t="s">
        <v>1</v>
      </c>
      <c r="B355" t="s">
        <v>5</v>
      </c>
      <c r="C355">
        <v>1</v>
      </c>
      <c r="D355">
        <v>2</v>
      </c>
      <c r="E355" s="24">
        <v>34285858100</v>
      </c>
      <c r="F355">
        <f t="shared" si="5"/>
        <v>0.6</v>
      </c>
    </row>
    <row r="356" spans="1:6" x14ac:dyDescent="0.3">
      <c r="A356" t="s">
        <v>1</v>
      </c>
      <c r="B356" t="s">
        <v>5</v>
      </c>
      <c r="C356">
        <v>1</v>
      </c>
      <c r="D356">
        <v>2</v>
      </c>
      <c r="E356" s="24">
        <v>40537220400</v>
      </c>
      <c r="F356">
        <f t="shared" si="5"/>
        <v>0.7</v>
      </c>
    </row>
    <row r="357" spans="1:6" x14ac:dyDescent="0.3">
      <c r="A357" t="s">
        <v>1</v>
      </c>
      <c r="B357" t="s">
        <v>5</v>
      </c>
      <c r="C357">
        <v>1</v>
      </c>
      <c r="D357">
        <v>2</v>
      </c>
      <c r="E357" s="24">
        <v>37930160500</v>
      </c>
      <c r="F357">
        <f t="shared" si="5"/>
        <v>0.6</v>
      </c>
    </row>
    <row r="358" spans="1:6" x14ac:dyDescent="0.3">
      <c r="A358" t="s">
        <v>1</v>
      </c>
      <c r="B358" t="s">
        <v>5</v>
      </c>
      <c r="C358">
        <v>1</v>
      </c>
      <c r="D358">
        <v>2</v>
      </c>
      <c r="E358" s="24">
        <v>43468435600</v>
      </c>
      <c r="F358">
        <f t="shared" si="5"/>
        <v>0.7</v>
      </c>
    </row>
    <row r="359" spans="1:6" x14ac:dyDescent="0.3">
      <c r="A359" t="s">
        <v>1</v>
      </c>
      <c r="B359" t="s">
        <v>5</v>
      </c>
      <c r="C359">
        <v>1</v>
      </c>
      <c r="D359">
        <v>2</v>
      </c>
      <c r="E359" s="24">
        <v>43467916100</v>
      </c>
      <c r="F359">
        <f t="shared" si="5"/>
        <v>0.7</v>
      </c>
    </row>
    <row r="360" spans="1:6" x14ac:dyDescent="0.3">
      <c r="A360" t="s">
        <v>1</v>
      </c>
      <c r="B360" t="s">
        <v>5</v>
      </c>
      <c r="C360">
        <v>1</v>
      </c>
      <c r="D360">
        <v>2</v>
      </c>
      <c r="E360" s="24">
        <v>55184476300</v>
      </c>
      <c r="F360">
        <f t="shared" si="5"/>
        <v>0.9</v>
      </c>
    </row>
    <row r="361" spans="1:6" x14ac:dyDescent="0.3">
      <c r="A361" t="s">
        <v>1</v>
      </c>
      <c r="B361" t="s">
        <v>5</v>
      </c>
      <c r="C361">
        <v>1</v>
      </c>
      <c r="D361">
        <v>2</v>
      </c>
      <c r="E361" s="24">
        <v>51521167400</v>
      </c>
      <c r="F361">
        <f t="shared" si="5"/>
        <v>0.9</v>
      </c>
    </row>
    <row r="362" spans="1:6" x14ac:dyDescent="0.3">
      <c r="A362" t="s">
        <v>1</v>
      </c>
      <c r="B362" t="s">
        <v>5</v>
      </c>
      <c r="C362">
        <v>1</v>
      </c>
      <c r="D362">
        <v>2</v>
      </c>
      <c r="E362" s="24">
        <v>41434673600</v>
      </c>
      <c r="F362">
        <f t="shared" si="5"/>
        <v>0.7</v>
      </c>
    </row>
    <row r="363" spans="1:6" x14ac:dyDescent="0.3">
      <c r="A363" t="s">
        <v>1</v>
      </c>
      <c r="B363" t="s">
        <v>5</v>
      </c>
      <c r="C363">
        <v>1</v>
      </c>
      <c r="D363">
        <v>2</v>
      </c>
      <c r="E363" s="24">
        <v>101234268200</v>
      </c>
      <c r="F363">
        <f t="shared" si="5"/>
        <v>1.7</v>
      </c>
    </row>
    <row r="364" spans="1:6" x14ac:dyDescent="0.3">
      <c r="A364" t="s">
        <v>1</v>
      </c>
      <c r="B364" t="s">
        <v>5</v>
      </c>
      <c r="C364">
        <v>1</v>
      </c>
      <c r="D364">
        <v>2</v>
      </c>
      <c r="E364" s="24">
        <v>103599231200</v>
      </c>
      <c r="F364">
        <f t="shared" si="5"/>
        <v>1.7</v>
      </c>
    </row>
    <row r="365" spans="1:6" x14ac:dyDescent="0.3">
      <c r="A365" t="s">
        <v>1</v>
      </c>
      <c r="B365" t="s">
        <v>5</v>
      </c>
      <c r="C365">
        <v>1</v>
      </c>
      <c r="D365">
        <v>2</v>
      </c>
      <c r="E365" s="24">
        <v>123203330900</v>
      </c>
      <c r="F365">
        <f t="shared" si="5"/>
        <v>2.1</v>
      </c>
    </row>
    <row r="366" spans="1:6" x14ac:dyDescent="0.3">
      <c r="A366" t="s">
        <v>1</v>
      </c>
      <c r="B366" t="s">
        <v>5</v>
      </c>
      <c r="C366">
        <v>1</v>
      </c>
      <c r="D366">
        <v>2</v>
      </c>
      <c r="E366" s="24">
        <v>100732654700</v>
      </c>
      <c r="F366">
        <f t="shared" si="5"/>
        <v>1.7</v>
      </c>
    </row>
    <row r="367" spans="1:6" x14ac:dyDescent="0.3">
      <c r="A367" t="s">
        <v>1</v>
      </c>
      <c r="B367" t="s">
        <v>5</v>
      </c>
      <c r="C367">
        <v>1</v>
      </c>
      <c r="D367">
        <v>2</v>
      </c>
      <c r="E367" s="24">
        <v>141871510900</v>
      </c>
      <c r="F367">
        <f t="shared" si="5"/>
        <v>2.4</v>
      </c>
    </row>
    <row r="368" spans="1:6" x14ac:dyDescent="0.3">
      <c r="A368" t="s">
        <v>1</v>
      </c>
      <c r="B368" t="s">
        <v>5</v>
      </c>
      <c r="C368">
        <v>1</v>
      </c>
      <c r="D368">
        <v>2</v>
      </c>
      <c r="E368" s="24">
        <v>80148687100</v>
      </c>
      <c r="F368">
        <f t="shared" si="5"/>
        <v>1.3</v>
      </c>
    </row>
    <row r="369" spans="1:6" x14ac:dyDescent="0.3">
      <c r="A369" t="s">
        <v>1</v>
      </c>
      <c r="B369" t="s">
        <v>5</v>
      </c>
      <c r="C369">
        <v>1</v>
      </c>
      <c r="D369">
        <v>2</v>
      </c>
      <c r="E369" s="24">
        <v>119493041600</v>
      </c>
      <c r="F369">
        <f t="shared" si="5"/>
        <v>2</v>
      </c>
    </row>
    <row r="370" spans="1:6" x14ac:dyDescent="0.3">
      <c r="A370" t="s">
        <v>1</v>
      </c>
      <c r="B370" t="s">
        <v>5</v>
      </c>
      <c r="C370">
        <v>1</v>
      </c>
      <c r="D370">
        <v>2</v>
      </c>
      <c r="E370" s="24">
        <v>105882586800</v>
      </c>
      <c r="F370">
        <f t="shared" si="5"/>
        <v>1.8</v>
      </c>
    </row>
    <row r="371" spans="1:6" x14ac:dyDescent="0.3">
      <c r="A371" t="s">
        <v>1</v>
      </c>
      <c r="B371" t="s">
        <v>5</v>
      </c>
      <c r="C371">
        <v>1</v>
      </c>
      <c r="D371">
        <v>2</v>
      </c>
      <c r="E371" s="24">
        <v>228484893100</v>
      </c>
      <c r="F371">
        <f t="shared" si="5"/>
        <v>3.8</v>
      </c>
    </row>
    <row r="372" spans="1:6" x14ac:dyDescent="0.3">
      <c r="A372" t="s">
        <v>1</v>
      </c>
      <c r="B372" t="s">
        <v>2</v>
      </c>
      <c r="C372">
        <v>1</v>
      </c>
      <c r="D372">
        <v>2</v>
      </c>
      <c r="E372" s="24">
        <v>1893970900</v>
      </c>
      <c r="F372">
        <f t="shared" si="5"/>
        <v>0</v>
      </c>
    </row>
    <row r="373" spans="1:6" x14ac:dyDescent="0.3">
      <c r="A373" t="s">
        <v>1</v>
      </c>
      <c r="B373" t="s">
        <v>2</v>
      </c>
      <c r="C373">
        <v>1</v>
      </c>
      <c r="D373">
        <v>2</v>
      </c>
      <c r="E373" s="24">
        <v>727907600</v>
      </c>
      <c r="F373">
        <f t="shared" si="5"/>
        <v>0</v>
      </c>
    </row>
    <row r="374" spans="1:6" x14ac:dyDescent="0.3">
      <c r="A374" t="s">
        <v>1</v>
      </c>
      <c r="B374" t="s">
        <v>2</v>
      </c>
      <c r="C374">
        <v>1</v>
      </c>
      <c r="D374">
        <v>2</v>
      </c>
      <c r="E374" s="24">
        <v>1177215800</v>
      </c>
      <c r="F374">
        <f t="shared" si="5"/>
        <v>0</v>
      </c>
    </row>
    <row r="375" spans="1:6" x14ac:dyDescent="0.3">
      <c r="A375" t="s">
        <v>1</v>
      </c>
      <c r="B375" t="s">
        <v>2</v>
      </c>
      <c r="C375">
        <v>1</v>
      </c>
      <c r="D375">
        <v>2</v>
      </c>
      <c r="E375" s="24">
        <v>4475114200</v>
      </c>
      <c r="F375">
        <f t="shared" si="5"/>
        <v>0.1</v>
      </c>
    </row>
    <row r="376" spans="1:6" x14ac:dyDescent="0.3">
      <c r="A376" t="s">
        <v>1</v>
      </c>
      <c r="B376" t="s">
        <v>2</v>
      </c>
      <c r="C376">
        <v>1</v>
      </c>
      <c r="D376">
        <v>2</v>
      </c>
      <c r="E376" s="24">
        <v>4172737600</v>
      </c>
      <c r="F376">
        <f t="shared" si="5"/>
        <v>0.1</v>
      </c>
    </row>
    <row r="377" spans="1:6" x14ac:dyDescent="0.3">
      <c r="A377" t="s">
        <v>1</v>
      </c>
      <c r="B377" t="s">
        <v>10</v>
      </c>
      <c r="C377">
        <v>1</v>
      </c>
      <c r="D377">
        <v>2</v>
      </c>
      <c r="E377" s="24">
        <v>5906469500</v>
      </c>
      <c r="F377">
        <f t="shared" si="5"/>
        <v>0.1</v>
      </c>
    </row>
    <row r="378" spans="1:6" x14ac:dyDescent="0.3">
      <c r="A378" t="s">
        <v>1</v>
      </c>
      <c r="B378" t="s">
        <v>10</v>
      </c>
      <c r="C378">
        <v>1</v>
      </c>
      <c r="D378">
        <v>2</v>
      </c>
      <c r="E378" s="24">
        <v>1181865000</v>
      </c>
      <c r="F378">
        <f t="shared" si="5"/>
        <v>0</v>
      </c>
    </row>
    <row r="379" spans="1:6" x14ac:dyDescent="0.3">
      <c r="A379" t="s">
        <v>1</v>
      </c>
      <c r="B379" t="s">
        <v>10</v>
      </c>
      <c r="C379">
        <v>1</v>
      </c>
      <c r="D379">
        <v>2</v>
      </c>
      <c r="E379" s="24">
        <v>297104100</v>
      </c>
      <c r="F379">
        <f t="shared" si="5"/>
        <v>0</v>
      </c>
    </row>
    <row r="380" spans="1:6" x14ac:dyDescent="0.3">
      <c r="A380" t="s">
        <v>1</v>
      </c>
      <c r="B380" t="s">
        <v>10</v>
      </c>
      <c r="C380">
        <v>1</v>
      </c>
      <c r="D380">
        <v>2</v>
      </c>
      <c r="E380" s="24">
        <v>1353935500</v>
      </c>
      <c r="F380">
        <f t="shared" si="5"/>
        <v>0</v>
      </c>
    </row>
    <row r="381" spans="1:6" x14ac:dyDescent="0.3">
      <c r="A381" t="s">
        <v>1</v>
      </c>
      <c r="B381" t="s">
        <v>10</v>
      </c>
      <c r="C381">
        <v>1</v>
      </c>
      <c r="D381">
        <v>2</v>
      </c>
      <c r="E381" s="24">
        <v>479238200</v>
      </c>
      <c r="F381">
        <f t="shared" si="5"/>
        <v>0</v>
      </c>
    </row>
    <row r="382" spans="1:6" x14ac:dyDescent="0.3">
      <c r="A382" t="s">
        <v>1</v>
      </c>
      <c r="B382" t="s">
        <v>10</v>
      </c>
      <c r="C382">
        <v>1</v>
      </c>
      <c r="D382">
        <v>2</v>
      </c>
      <c r="E382" s="24">
        <v>371864400</v>
      </c>
      <c r="F382">
        <f t="shared" si="5"/>
        <v>0</v>
      </c>
    </row>
    <row r="383" spans="1:6" x14ac:dyDescent="0.3">
      <c r="A383" t="s">
        <v>2</v>
      </c>
      <c r="B383" t="s">
        <v>4</v>
      </c>
      <c r="C383">
        <v>0</v>
      </c>
      <c r="D383">
        <v>2</v>
      </c>
      <c r="E383" s="24">
        <v>18405542900</v>
      </c>
      <c r="F383">
        <f t="shared" si="5"/>
        <v>0.3</v>
      </c>
    </row>
    <row r="384" spans="1:6" x14ac:dyDescent="0.3">
      <c r="A384" t="s">
        <v>2</v>
      </c>
      <c r="B384" t="s">
        <v>4</v>
      </c>
      <c r="C384">
        <v>1</v>
      </c>
      <c r="D384">
        <v>2</v>
      </c>
      <c r="E384" s="24">
        <v>80466587100</v>
      </c>
      <c r="F384">
        <f t="shared" si="5"/>
        <v>1.3</v>
      </c>
    </row>
    <row r="385" spans="1:6" x14ac:dyDescent="0.3">
      <c r="A385" t="s">
        <v>2</v>
      </c>
      <c r="B385" t="s">
        <v>4</v>
      </c>
      <c r="C385">
        <v>0</v>
      </c>
      <c r="D385">
        <v>2</v>
      </c>
      <c r="E385" s="24">
        <v>62205399700</v>
      </c>
      <c r="F385">
        <f t="shared" si="5"/>
        <v>1</v>
      </c>
    </row>
    <row r="386" spans="1:6" x14ac:dyDescent="0.3">
      <c r="A386" t="s">
        <v>2</v>
      </c>
      <c r="B386" t="s">
        <v>4</v>
      </c>
      <c r="C386">
        <v>0</v>
      </c>
      <c r="D386">
        <v>2</v>
      </c>
      <c r="E386" s="24">
        <v>89317865100</v>
      </c>
      <c r="F386">
        <f t="shared" ref="F386:F449" si="6">ROUND(E386/60000000000, 1)</f>
        <v>1.5</v>
      </c>
    </row>
    <row r="387" spans="1:6" x14ac:dyDescent="0.3">
      <c r="A387" t="s">
        <v>2</v>
      </c>
      <c r="B387" t="s">
        <v>4</v>
      </c>
      <c r="C387">
        <v>0</v>
      </c>
      <c r="D387">
        <v>2</v>
      </c>
      <c r="E387" s="24">
        <v>69115013400</v>
      </c>
      <c r="F387">
        <f t="shared" si="6"/>
        <v>1.2</v>
      </c>
    </row>
    <row r="388" spans="1:6" x14ac:dyDescent="0.3">
      <c r="A388" t="s">
        <v>2</v>
      </c>
      <c r="B388" t="s">
        <v>4</v>
      </c>
      <c r="C388">
        <v>0</v>
      </c>
      <c r="D388">
        <v>2</v>
      </c>
      <c r="E388" s="24">
        <v>96970522300</v>
      </c>
      <c r="F388">
        <f t="shared" si="6"/>
        <v>1.6</v>
      </c>
    </row>
    <row r="389" spans="1:6" x14ac:dyDescent="0.3">
      <c r="A389" t="s">
        <v>2</v>
      </c>
      <c r="B389" t="s">
        <v>3</v>
      </c>
      <c r="C389">
        <v>0</v>
      </c>
      <c r="D389">
        <v>2</v>
      </c>
      <c r="E389" s="24">
        <v>182489600</v>
      </c>
      <c r="F389">
        <f t="shared" si="6"/>
        <v>0</v>
      </c>
    </row>
    <row r="390" spans="1:6" x14ac:dyDescent="0.3">
      <c r="A390" t="s">
        <v>2</v>
      </c>
      <c r="B390" t="s">
        <v>3</v>
      </c>
      <c r="C390">
        <v>0</v>
      </c>
      <c r="D390">
        <v>2</v>
      </c>
      <c r="E390" s="24">
        <v>412446200</v>
      </c>
      <c r="F390">
        <f t="shared" si="6"/>
        <v>0</v>
      </c>
    </row>
    <row r="391" spans="1:6" x14ac:dyDescent="0.3">
      <c r="A391" t="s">
        <v>2</v>
      </c>
      <c r="B391" t="s">
        <v>3</v>
      </c>
      <c r="C391">
        <v>0</v>
      </c>
      <c r="D391">
        <v>2</v>
      </c>
      <c r="E391" s="24">
        <v>487174500</v>
      </c>
      <c r="F391">
        <f t="shared" si="6"/>
        <v>0</v>
      </c>
    </row>
    <row r="392" spans="1:6" x14ac:dyDescent="0.3">
      <c r="A392" t="s">
        <v>2</v>
      </c>
      <c r="B392" t="s">
        <v>3</v>
      </c>
      <c r="C392">
        <v>1</v>
      </c>
      <c r="D392">
        <v>2</v>
      </c>
      <c r="E392" s="24">
        <v>1228280500</v>
      </c>
      <c r="F392">
        <f t="shared" si="6"/>
        <v>0</v>
      </c>
    </row>
    <row r="393" spans="1:6" x14ac:dyDescent="0.3">
      <c r="A393" t="s">
        <v>2</v>
      </c>
      <c r="B393" t="s">
        <v>3</v>
      </c>
      <c r="C393">
        <v>0</v>
      </c>
      <c r="D393">
        <v>2</v>
      </c>
      <c r="E393" s="24">
        <v>536895900</v>
      </c>
      <c r="F393">
        <f t="shared" si="6"/>
        <v>0</v>
      </c>
    </row>
    <row r="394" spans="1:6" x14ac:dyDescent="0.3">
      <c r="A394" t="s">
        <v>2</v>
      </c>
      <c r="B394" t="s">
        <v>3</v>
      </c>
      <c r="C394">
        <v>0</v>
      </c>
      <c r="D394">
        <v>2</v>
      </c>
      <c r="E394" s="24">
        <v>695420900</v>
      </c>
      <c r="F394">
        <f t="shared" si="6"/>
        <v>0</v>
      </c>
    </row>
    <row r="395" spans="1:6" x14ac:dyDescent="0.3">
      <c r="A395" t="s">
        <v>2</v>
      </c>
      <c r="B395" t="s">
        <v>8</v>
      </c>
      <c r="C395">
        <v>0</v>
      </c>
      <c r="D395">
        <v>2</v>
      </c>
      <c r="E395" s="24">
        <v>3960075321600</v>
      </c>
      <c r="F395">
        <f t="shared" si="6"/>
        <v>66</v>
      </c>
    </row>
    <row r="396" spans="1:6" x14ac:dyDescent="0.3">
      <c r="A396" t="s">
        <v>2</v>
      </c>
      <c r="B396" t="s">
        <v>5</v>
      </c>
      <c r="C396">
        <v>0</v>
      </c>
      <c r="D396">
        <v>2</v>
      </c>
      <c r="E396" s="24">
        <v>29521577100</v>
      </c>
      <c r="F396">
        <f t="shared" si="6"/>
        <v>0.5</v>
      </c>
    </row>
    <row r="397" spans="1:6" x14ac:dyDescent="0.3">
      <c r="A397" t="s">
        <v>2</v>
      </c>
      <c r="B397" t="s">
        <v>5</v>
      </c>
      <c r="C397">
        <v>0</v>
      </c>
      <c r="D397">
        <v>2</v>
      </c>
      <c r="E397" s="24">
        <v>25852844600</v>
      </c>
      <c r="F397">
        <f t="shared" si="6"/>
        <v>0.4</v>
      </c>
    </row>
    <row r="398" spans="1:6" x14ac:dyDescent="0.3">
      <c r="A398" t="s">
        <v>2</v>
      </c>
      <c r="B398" t="s">
        <v>5</v>
      </c>
      <c r="C398">
        <v>0</v>
      </c>
      <c r="D398">
        <v>2</v>
      </c>
      <c r="E398" s="24">
        <v>29111894600</v>
      </c>
      <c r="F398">
        <f t="shared" si="6"/>
        <v>0.5</v>
      </c>
    </row>
    <row r="399" spans="1:6" x14ac:dyDescent="0.3">
      <c r="A399" t="s">
        <v>2</v>
      </c>
      <c r="B399" t="s">
        <v>5</v>
      </c>
      <c r="C399">
        <v>0</v>
      </c>
      <c r="D399">
        <v>2</v>
      </c>
      <c r="E399" s="24">
        <v>31271190200</v>
      </c>
      <c r="F399">
        <f t="shared" si="6"/>
        <v>0.5</v>
      </c>
    </row>
    <row r="400" spans="1:6" x14ac:dyDescent="0.3">
      <c r="A400" t="s">
        <v>2</v>
      </c>
      <c r="B400" t="s">
        <v>5</v>
      </c>
      <c r="C400">
        <v>0</v>
      </c>
      <c r="D400">
        <v>2</v>
      </c>
      <c r="E400" s="24">
        <v>36558000500</v>
      </c>
      <c r="F400">
        <f t="shared" si="6"/>
        <v>0.6</v>
      </c>
    </row>
    <row r="401" spans="1:6" x14ac:dyDescent="0.3">
      <c r="A401" t="s">
        <v>2</v>
      </c>
      <c r="B401" t="s">
        <v>5</v>
      </c>
      <c r="C401">
        <v>0</v>
      </c>
      <c r="D401">
        <v>2</v>
      </c>
      <c r="E401" s="24">
        <v>32097200300</v>
      </c>
      <c r="F401">
        <f t="shared" si="6"/>
        <v>0.5</v>
      </c>
    </row>
    <row r="402" spans="1:6" x14ac:dyDescent="0.3">
      <c r="A402" t="s">
        <v>2</v>
      </c>
      <c r="B402" t="s">
        <v>5</v>
      </c>
      <c r="C402">
        <v>0</v>
      </c>
      <c r="D402">
        <v>2</v>
      </c>
      <c r="E402" s="24">
        <v>40657590900</v>
      </c>
      <c r="F402">
        <f t="shared" si="6"/>
        <v>0.7</v>
      </c>
    </row>
    <row r="403" spans="1:6" x14ac:dyDescent="0.3">
      <c r="A403" t="s">
        <v>2</v>
      </c>
      <c r="B403" t="s">
        <v>5</v>
      </c>
      <c r="C403">
        <v>0</v>
      </c>
      <c r="D403">
        <v>2</v>
      </c>
      <c r="E403" s="24">
        <v>34088131100</v>
      </c>
      <c r="F403">
        <f t="shared" si="6"/>
        <v>0.6</v>
      </c>
    </row>
    <row r="404" spans="1:6" x14ac:dyDescent="0.3">
      <c r="A404" t="s">
        <v>2</v>
      </c>
      <c r="B404" t="s">
        <v>5</v>
      </c>
      <c r="C404">
        <v>0</v>
      </c>
      <c r="D404">
        <v>2</v>
      </c>
      <c r="E404" s="24">
        <v>31071341400</v>
      </c>
      <c r="F404">
        <f t="shared" si="6"/>
        <v>0.5</v>
      </c>
    </row>
    <row r="405" spans="1:6" x14ac:dyDescent="0.3">
      <c r="A405" t="s">
        <v>2</v>
      </c>
      <c r="B405" t="s">
        <v>5</v>
      </c>
      <c r="C405">
        <v>0</v>
      </c>
      <c r="D405">
        <v>2</v>
      </c>
      <c r="E405" s="24">
        <v>33455588400</v>
      </c>
      <c r="F405">
        <f t="shared" si="6"/>
        <v>0.6</v>
      </c>
    </row>
    <row r="406" spans="1:6" x14ac:dyDescent="0.3">
      <c r="A406" t="s">
        <v>2</v>
      </c>
      <c r="B406" t="s">
        <v>5</v>
      </c>
      <c r="C406">
        <v>0</v>
      </c>
      <c r="D406">
        <v>2</v>
      </c>
      <c r="E406" s="24">
        <v>98921298800</v>
      </c>
      <c r="F406">
        <f t="shared" si="6"/>
        <v>1.6</v>
      </c>
    </row>
    <row r="407" spans="1:6" x14ac:dyDescent="0.3">
      <c r="A407" t="s">
        <v>2</v>
      </c>
      <c r="B407" t="s">
        <v>5</v>
      </c>
      <c r="C407">
        <v>0</v>
      </c>
      <c r="D407">
        <v>2</v>
      </c>
      <c r="E407" s="24">
        <v>70496687500</v>
      </c>
      <c r="F407">
        <f t="shared" si="6"/>
        <v>1.2</v>
      </c>
    </row>
    <row r="408" spans="1:6" x14ac:dyDescent="0.3">
      <c r="A408" t="s">
        <v>2</v>
      </c>
      <c r="B408" t="s">
        <v>5</v>
      </c>
      <c r="C408">
        <v>1</v>
      </c>
      <c r="D408">
        <v>2</v>
      </c>
      <c r="E408" s="24">
        <v>494707367100</v>
      </c>
      <c r="F408">
        <f t="shared" si="6"/>
        <v>8.1999999999999993</v>
      </c>
    </row>
    <row r="409" spans="1:6" x14ac:dyDescent="0.3">
      <c r="A409" t="s">
        <v>2</v>
      </c>
      <c r="B409" t="s">
        <v>5</v>
      </c>
      <c r="C409">
        <v>0</v>
      </c>
      <c r="D409">
        <v>2</v>
      </c>
      <c r="E409" s="24">
        <v>129267708700</v>
      </c>
      <c r="F409">
        <f t="shared" si="6"/>
        <v>2.2000000000000002</v>
      </c>
    </row>
    <row r="410" spans="1:6" x14ac:dyDescent="0.3">
      <c r="A410" t="s">
        <v>2</v>
      </c>
      <c r="B410" t="s">
        <v>1</v>
      </c>
      <c r="C410">
        <v>0</v>
      </c>
      <c r="D410">
        <v>2</v>
      </c>
      <c r="E410" s="24">
        <v>229209100</v>
      </c>
      <c r="F410">
        <f t="shared" si="6"/>
        <v>0</v>
      </c>
    </row>
    <row r="411" spans="1:6" x14ac:dyDescent="0.3">
      <c r="A411" t="s">
        <v>2</v>
      </c>
      <c r="B411" t="s">
        <v>1</v>
      </c>
      <c r="C411">
        <v>1</v>
      </c>
      <c r="D411">
        <v>2</v>
      </c>
      <c r="E411" s="24">
        <v>7224269900</v>
      </c>
      <c r="F411">
        <f t="shared" si="6"/>
        <v>0.1</v>
      </c>
    </row>
    <row r="412" spans="1:6" x14ac:dyDescent="0.3">
      <c r="A412" t="s">
        <v>2</v>
      </c>
      <c r="B412" t="s">
        <v>1</v>
      </c>
      <c r="C412">
        <v>1</v>
      </c>
      <c r="D412">
        <v>2</v>
      </c>
      <c r="E412" s="24">
        <v>3230063300</v>
      </c>
      <c r="F412">
        <f t="shared" si="6"/>
        <v>0.1</v>
      </c>
    </row>
    <row r="413" spans="1:6" x14ac:dyDescent="0.3">
      <c r="A413" t="s">
        <v>2</v>
      </c>
      <c r="B413" t="s">
        <v>1</v>
      </c>
      <c r="C413">
        <v>0</v>
      </c>
      <c r="D413">
        <v>2</v>
      </c>
      <c r="E413" s="24">
        <v>538129600</v>
      </c>
      <c r="F413">
        <f t="shared" si="6"/>
        <v>0</v>
      </c>
    </row>
    <row r="414" spans="1:6" x14ac:dyDescent="0.3">
      <c r="A414" t="s">
        <v>2</v>
      </c>
      <c r="B414" t="s">
        <v>1</v>
      </c>
      <c r="C414">
        <v>1</v>
      </c>
      <c r="D414">
        <v>2</v>
      </c>
      <c r="E414" s="24">
        <v>4806920100</v>
      </c>
      <c r="F414">
        <f t="shared" si="6"/>
        <v>0.1</v>
      </c>
    </row>
    <row r="415" spans="1:6" x14ac:dyDescent="0.3">
      <c r="A415" t="s">
        <v>2</v>
      </c>
      <c r="B415" t="s">
        <v>1</v>
      </c>
      <c r="C415">
        <v>1</v>
      </c>
      <c r="D415">
        <v>2</v>
      </c>
      <c r="E415" s="24">
        <v>5083241100</v>
      </c>
      <c r="F415">
        <f t="shared" si="6"/>
        <v>0.1</v>
      </c>
    </row>
    <row r="416" spans="1:6" x14ac:dyDescent="0.3">
      <c r="A416" t="s">
        <v>2</v>
      </c>
      <c r="B416" t="s">
        <v>10</v>
      </c>
      <c r="C416">
        <v>0</v>
      </c>
      <c r="D416">
        <v>2</v>
      </c>
      <c r="E416" s="24">
        <v>105239700</v>
      </c>
      <c r="F416">
        <f t="shared" si="6"/>
        <v>0</v>
      </c>
    </row>
    <row r="417" spans="1:6" x14ac:dyDescent="0.3">
      <c r="A417" t="s">
        <v>2</v>
      </c>
      <c r="B417" t="s">
        <v>10</v>
      </c>
      <c r="C417">
        <v>0</v>
      </c>
      <c r="D417">
        <v>2</v>
      </c>
      <c r="E417" s="24">
        <v>475551400</v>
      </c>
      <c r="F417">
        <f t="shared" si="6"/>
        <v>0</v>
      </c>
    </row>
    <row r="418" spans="1:6" x14ac:dyDescent="0.3">
      <c r="A418" t="s">
        <v>2</v>
      </c>
      <c r="B418" t="s">
        <v>10</v>
      </c>
      <c r="C418">
        <v>0</v>
      </c>
      <c r="D418">
        <v>2</v>
      </c>
      <c r="E418" s="24">
        <v>256204800</v>
      </c>
      <c r="F418">
        <f t="shared" si="6"/>
        <v>0</v>
      </c>
    </row>
    <row r="419" spans="1:6" x14ac:dyDescent="0.3">
      <c r="A419" t="s">
        <v>2</v>
      </c>
      <c r="B419" t="s">
        <v>10</v>
      </c>
      <c r="C419">
        <v>1</v>
      </c>
      <c r="D419">
        <v>2</v>
      </c>
      <c r="E419" s="24">
        <v>261797200</v>
      </c>
      <c r="F419">
        <f t="shared" si="6"/>
        <v>0</v>
      </c>
    </row>
    <row r="420" spans="1:6" x14ac:dyDescent="0.3">
      <c r="A420" t="s">
        <v>2</v>
      </c>
      <c r="B420" t="s">
        <v>10</v>
      </c>
      <c r="C420">
        <v>0</v>
      </c>
      <c r="D420">
        <v>2</v>
      </c>
      <c r="E420" s="24">
        <v>726421400</v>
      </c>
      <c r="F420">
        <f t="shared" si="6"/>
        <v>0</v>
      </c>
    </row>
    <row r="421" spans="1:6" x14ac:dyDescent="0.3">
      <c r="A421" t="s">
        <v>2</v>
      </c>
      <c r="B421" t="s">
        <v>10</v>
      </c>
      <c r="C421">
        <v>0</v>
      </c>
      <c r="D421">
        <v>2</v>
      </c>
      <c r="E421" s="24">
        <v>426503600</v>
      </c>
      <c r="F421">
        <f t="shared" si="6"/>
        <v>0</v>
      </c>
    </row>
    <row r="422" spans="1:6" x14ac:dyDescent="0.3">
      <c r="A422" t="s">
        <v>10</v>
      </c>
      <c r="B422" t="s">
        <v>4</v>
      </c>
      <c r="C422">
        <v>1</v>
      </c>
      <c r="D422">
        <v>2</v>
      </c>
      <c r="E422" s="24">
        <v>60219613200</v>
      </c>
      <c r="F422">
        <f t="shared" si="6"/>
        <v>1</v>
      </c>
    </row>
    <row r="423" spans="1:6" x14ac:dyDescent="0.3">
      <c r="A423" t="s">
        <v>10</v>
      </c>
      <c r="B423" t="s">
        <v>4</v>
      </c>
      <c r="C423">
        <v>1</v>
      </c>
      <c r="D423">
        <v>2</v>
      </c>
      <c r="E423" s="24">
        <v>129320763600</v>
      </c>
      <c r="F423">
        <f t="shared" si="6"/>
        <v>2.2000000000000002</v>
      </c>
    </row>
    <row r="424" spans="1:6" x14ac:dyDescent="0.3">
      <c r="A424" t="s">
        <v>10</v>
      </c>
      <c r="B424" t="s">
        <v>4</v>
      </c>
      <c r="C424">
        <v>1</v>
      </c>
      <c r="D424">
        <v>2</v>
      </c>
      <c r="E424" s="24">
        <v>16718633300</v>
      </c>
      <c r="F424">
        <f t="shared" si="6"/>
        <v>0.3</v>
      </c>
    </row>
    <row r="425" spans="1:6" x14ac:dyDescent="0.3">
      <c r="A425" t="s">
        <v>10</v>
      </c>
      <c r="B425" t="s">
        <v>4</v>
      </c>
      <c r="C425">
        <v>1</v>
      </c>
      <c r="D425">
        <v>2</v>
      </c>
      <c r="E425" s="24">
        <v>77145604400</v>
      </c>
      <c r="F425">
        <f t="shared" si="6"/>
        <v>1.3</v>
      </c>
    </row>
    <row r="426" spans="1:6" x14ac:dyDescent="0.3">
      <c r="A426" t="s">
        <v>10</v>
      </c>
      <c r="B426" t="s">
        <v>4</v>
      </c>
      <c r="C426">
        <v>1</v>
      </c>
      <c r="D426">
        <v>2</v>
      </c>
      <c r="E426" s="24">
        <v>85796751500</v>
      </c>
      <c r="F426">
        <f t="shared" si="6"/>
        <v>1.4</v>
      </c>
    </row>
    <row r="427" spans="1:6" x14ac:dyDescent="0.3">
      <c r="A427" t="s">
        <v>10</v>
      </c>
      <c r="B427" t="s">
        <v>4</v>
      </c>
      <c r="C427">
        <v>1</v>
      </c>
      <c r="D427">
        <v>2</v>
      </c>
      <c r="E427" s="24">
        <v>118675256200</v>
      </c>
      <c r="F427">
        <f t="shared" si="6"/>
        <v>2</v>
      </c>
    </row>
    <row r="428" spans="1:6" x14ac:dyDescent="0.3">
      <c r="A428" t="s">
        <v>10</v>
      </c>
      <c r="B428" t="s">
        <v>4</v>
      </c>
      <c r="C428">
        <v>1</v>
      </c>
      <c r="D428">
        <v>2</v>
      </c>
      <c r="E428" s="24">
        <v>58622596200</v>
      </c>
      <c r="F428">
        <f t="shared" si="6"/>
        <v>1</v>
      </c>
    </row>
    <row r="429" spans="1:6" x14ac:dyDescent="0.3">
      <c r="A429" t="s">
        <v>10</v>
      </c>
      <c r="B429" t="s">
        <v>4</v>
      </c>
      <c r="C429">
        <v>1</v>
      </c>
      <c r="D429">
        <v>2</v>
      </c>
      <c r="E429" s="24">
        <v>143155685300</v>
      </c>
      <c r="F429">
        <f t="shared" si="6"/>
        <v>2.4</v>
      </c>
    </row>
    <row r="430" spans="1:6" x14ac:dyDescent="0.3">
      <c r="A430" t="s">
        <v>10</v>
      </c>
      <c r="B430" t="s">
        <v>3</v>
      </c>
      <c r="C430">
        <v>1</v>
      </c>
      <c r="D430">
        <v>2</v>
      </c>
      <c r="E430" s="24">
        <v>759230400</v>
      </c>
      <c r="F430">
        <f t="shared" si="6"/>
        <v>0</v>
      </c>
    </row>
    <row r="431" spans="1:6" x14ac:dyDescent="0.3">
      <c r="A431" t="s">
        <v>10</v>
      </c>
      <c r="B431" t="s">
        <v>3</v>
      </c>
      <c r="C431">
        <v>1</v>
      </c>
      <c r="D431">
        <v>2</v>
      </c>
      <c r="E431" s="24">
        <v>658006200</v>
      </c>
      <c r="F431">
        <f t="shared" si="6"/>
        <v>0</v>
      </c>
    </row>
    <row r="432" spans="1:6" x14ac:dyDescent="0.3">
      <c r="A432" t="s">
        <v>10</v>
      </c>
      <c r="B432" t="s">
        <v>3</v>
      </c>
      <c r="C432">
        <v>1</v>
      </c>
      <c r="D432">
        <v>2</v>
      </c>
      <c r="E432" s="24">
        <v>1259671600</v>
      </c>
      <c r="F432">
        <f t="shared" si="6"/>
        <v>0</v>
      </c>
    </row>
    <row r="433" spans="1:6" x14ac:dyDescent="0.3">
      <c r="A433" t="s">
        <v>10</v>
      </c>
      <c r="B433" t="s">
        <v>3</v>
      </c>
      <c r="C433">
        <v>1</v>
      </c>
      <c r="D433">
        <v>2</v>
      </c>
      <c r="E433" s="24">
        <v>207021200</v>
      </c>
      <c r="F433">
        <f t="shared" si="6"/>
        <v>0</v>
      </c>
    </row>
    <row r="434" spans="1:6" x14ac:dyDescent="0.3">
      <c r="A434" t="s">
        <v>10</v>
      </c>
      <c r="B434" t="s">
        <v>3</v>
      </c>
      <c r="C434">
        <v>1</v>
      </c>
      <c r="D434">
        <v>2</v>
      </c>
      <c r="E434" s="24">
        <v>741701100</v>
      </c>
      <c r="F434">
        <f t="shared" si="6"/>
        <v>0</v>
      </c>
    </row>
    <row r="435" spans="1:6" x14ac:dyDescent="0.3">
      <c r="A435" t="s">
        <v>10</v>
      </c>
      <c r="B435" t="s">
        <v>3</v>
      </c>
      <c r="C435">
        <v>1</v>
      </c>
      <c r="D435">
        <v>2</v>
      </c>
      <c r="E435" s="24">
        <v>426508600</v>
      </c>
      <c r="F435">
        <f t="shared" si="6"/>
        <v>0</v>
      </c>
    </row>
    <row r="436" spans="1:6" x14ac:dyDescent="0.3">
      <c r="A436" t="s">
        <v>10</v>
      </c>
      <c r="B436" t="s">
        <v>3</v>
      </c>
      <c r="C436">
        <v>1</v>
      </c>
      <c r="D436">
        <v>2</v>
      </c>
      <c r="E436" s="24">
        <v>367717100</v>
      </c>
      <c r="F436">
        <f t="shared" si="6"/>
        <v>0</v>
      </c>
    </row>
    <row r="437" spans="1:6" x14ac:dyDescent="0.3">
      <c r="A437" t="s">
        <v>10</v>
      </c>
      <c r="B437" t="s">
        <v>3</v>
      </c>
      <c r="C437">
        <v>1</v>
      </c>
      <c r="D437">
        <v>2</v>
      </c>
      <c r="E437" s="24">
        <v>549271200</v>
      </c>
      <c r="F437">
        <f t="shared" si="6"/>
        <v>0</v>
      </c>
    </row>
    <row r="438" spans="1:6" x14ac:dyDescent="0.3">
      <c r="A438" t="s">
        <v>10</v>
      </c>
      <c r="B438" t="s">
        <v>3</v>
      </c>
      <c r="C438">
        <v>1</v>
      </c>
      <c r="D438">
        <v>2</v>
      </c>
      <c r="E438" s="24">
        <v>672991300</v>
      </c>
      <c r="F438">
        <f t="shared" si="6"/>
        <v>0</v>
      </c>
    </row>
    <row r="439" spans="1:6" x14ac:dyDescent="0.3">
      <c r="A439" t="s">
        <v>10</v>
      </c>
      <c r="B439" t="s">
        <v>5</v>
      </c>
      <c r="C439">
        <v>1</v>
      </c>
      <c r="D439">
        <v>2</v>
      </c>
      <c r="E439" s="24">
        <v>128914160600</v>
      </c>
      <c r="F439">
        <f t="shared" si="6"/>
        <v>2.1</v>
      </c>
    </row>
    <row r="440" spans="1:6" x14ac:dyDescent="0.3">
      <c r="A440" t="s">
        <v>10</v>
      </c>
      <c r="B440" t="s">
        <v>5</v>
      </c>
      <c r="C440">
        <v>1</v>
      </c>
      <c r="D440">
        <v>2</v>
      </c>
      <c r="E440" s="24">
        <v>122366941600</v>
      </c>
      <c r="F440">
        <f t="shared" si="6"/>
        <v>2</v>
      </c>
    </row>
    <row r="441" spans="1:6" x14ac:dyDescent="0.3">
      <c r="A441" t="s">
        <v>10</v>
      </c>
      <c r="B441" t="s">
        <v>5</v>
      </c>
      <c r="C441">
        <v>1</v>
      </c>
      <c r="D441">
        <v>2</v>
      </c>
      <c r="E441" s="24">
        <v>79638767899</v>
      </c>
      <c r="F441">
        <f t="shared" si="6"/>
        <v>1.3</v>
      </c>
    </row>
    <row r="442" spans="1:6" x14ac:dyDescent="0.3">
      <c r="A442" t="s">
        <v>10</v>
      </c>
      <c r="B442" t="s">
        <v>5</v>
      </c>
      <c r="C442">
        <v>1</v>
      </c>
      <c r="D442">
        <v>2</v>
      </c>
      <c r="E442" s="24">
        <v>82941001700</v>
      </c>
      <c r="F442">
        <f t="shared" si="6"/>
        <v>1.4</v>
      </c>
    </row>
    <row r="443" spans="1:6" x14ac:dyDescent="0.3">
      <c r="A443" t="s">
        <v>10</v>
      </c>
      <c r="B443" t="s">
        <v>5</v>
      </c>
      <c r="C443">
        <v>1</v>
      </c>
      <c r="D443">
        <v>2</v>
      </c>
      <c r="E443" s="24">
        <v>83995101900</v>
      </c>
      <c r="F443">
        <f t="shared" si="6"/>
        <v>1.4</v>
      </c>
    </row>
    <row r="444" spans="1:6" x14ac:dyDescent="0.3">
      <c r="A444" t="s">
        <v>10</v>
      </c>
      <c r="B444" t="s">
        <v>5</v>
      </c>
      <c r="C444">
        <v>1</v>
      </c>
      <c r="D444">
        <v>2</v>
      </c>
      <c r="E444" s="24">
        <v>91977917100</v>
      </c>
      <c r="F444">
        <f t="shared" si="6"/>
        <v>1.5</v>
      </c>
    </row>
    <row r="445" spans="1:6" x14ac:dyDescent="0.3">
      <c r="A445" t="s">
        <v>10</v>
      </c>
      <c r="B445" t="s">
        <v>5</v>
      </c>
      <c r="C445">
        <v>1</v>
      </c>
      <c r="D445">
        <v>2</v>
      </c>
      <c r="E445" s="24">
        <v>85459285300</v>
      </c>
      <c r="F445">
        <f t="shared" si="6"/>
        <v>1.4</v>
      </c>
    </row>
    <row r="446" spans="1:6" x14ac:dyDescent="0.3">
      <c r="A446" t="s">
        <v>10</v>
      </c>
      <c r="B446" t="s">
        <v>5</v>
      </c>
      <c r="C446">
        <v>1</v>
      </c>
      <c r="D446">
        <v>2</v>
      </c>
      <c r="E446" s="24">
        <v>75958840100</v>
      </c>
      <c r="F446">
        <f t="shared" si="6"/>
        <v>1.3</v>
      </c>
    </row>
    <row r="447" spans="1:6" x14ac:dyDescent="0.3">
      <c r="A447" t="s">
        <v>10</v>
      </c>
      <c r="B447" t="s">
        <v>5</v>
      </c>
      <c r="C447">
        <v>1</v>
      </c>
      <c r="D447">
        <v>2</v>
      </c>
      <c r="E447" s="24">
        <v>95767424200</v>
      </c>
      <c r="F447">
        <f t="shared" si="6"/>
        <v>1.6</v>
      </c>
    </row>
    <row r="448" spans="1:6" x14ac:dyDescent="0.3">
      <c r="A448" t="s">
        <v>10</v>
      </c>
      <c r="B448" t="s">
        <v>5</v>
      </c>
      <c r="C448">
        <v>1</v>
      </c>
      <c r="D448">
        <v>2</v>
      </c>
      <c r="E448" s="24">
        <v>95868558100</v>
      </c>
      <c r="F448">
        <f t="shared" si="6"/>
        <v>1.6</v>
      </c>
    </row>
    <row r="449" spans="1:6" x14ac:dyDescent="0.3">
      <c r="A449" t="s">
        <v>10</v>
      </c>
      <c r="B449" t="s">
        <v>5</v>
      </c>
      <c r="C449">
        <v>1</v>
      </c>
      <c r="D449">
        <v>2</v>
      </c>
      <c r="E449" s="24">
        <v>41768484300</v>
      </c>
      <c r="F449">
        <f t="shared" si="6"/>
        <v>0.7</v>
      </c>
    </row>
    <row r="450" spans="1:6" x14ac:dyDescent="0.3">
      <c r="A450" t="s">
        <v>10</v>
      </c>
      <c r="B450" t="s">
        <v>5</v>
      </c>
      <c r="C450">
        <v>1</v>
      </c>
      <c r="D450">
        <v>2</v>
      </c>
      <c r="E450" s="24">
        <v>35837813600</v>
      </c>
      <c r="F450">
        <f t="shared" ref="F450:F513" si="7">ROUND(E450/60000000000, 1)</f>
        <v>0.6</v>
      </c>
    </row>
    <row r="451" spans="1:6" x14ac:dyDescent="0.3">
      <c r="A451" t="s">
        <v>10</v>
      </c>
      <c r="B451" t="s">
        <v>5</v>
      </c>
      <c r="C451">
        <v>1</v>
      </c>
      <c r="D451">
        <v>2</v>
      </c>
      <c r="E451" s="24">
        <v>33036852400</v>
      </c>
      <c r="F451">
        <f t="shared" si="7"/>
        <v>0.6</v>
      </c>
    </row>
    <row r="452" spans="1:6" x14ac:dyDescent="0.3">
      <c r="A452" t="s">
        <v>10</v>
      </c>
      <c r="B452" t="s">
        <v>5</v>
      </c>
      <c r="C452">
        <v>1</v>
      </c>
      <c r="D452">
        <v>2</v>
      </c>
      <c r="E452" s="24">
        <v>41668682100</v>
      </c>
      <c r="F452">
        <f t="shared" si="7"/>
        <v>0.7</v>
      </c>
    </row>
    <row r="453" spans="1:6" x14ac:dyDescent="0.3">
      <c r="A453" t="s">
        <v>10</v>
      </c>
      <c r="B453" t="s">
        <v>5</v>
      </c>
      <c r="C453">
        <v>1</v>
      </c>
      <c r="D453">
        <v>2</v>
      </c>
      <c r="E453" s="24">
        <v>47571445300</v>
      </c>
      <c r="F453">
        <f t="shared" si="7"/>
        <v>0.8</v>
      </c>
    </row>
    <row r="454" spans="1:6" x14ac:dyDescent="0.3">
      <c r="A454" t="s">
        <v>10</v>
      </c>
      <c r="B454" t="s">
        <v>5</v>
      </c>
      <c r="C454">
        <v>1</v>
      </c>
      <c r="D454">
        <v>2</v>
      </c>
      <c r="E454" s="24">
        <v>34973144600</v>
      </c>
      <c r="F454">
        <f t="shared" si="7"/>
        <v>0.6</v>
      </c>
    </row>
    <row r="455" spans="1:6" x14ac:dyDescent="0.3">
      <c r="A455" t="s">
        <v>10</v>
      </c>
      <c r="B455" t="s">
        <v>5</v>
      </c>
      <c r="C455">
        <v>1</v>
      </c>
      <c r="D455">
        <v>2</v>
      </c>
      <c r="E455" s="24">
        <v>36369622900</v>
      </c>
      <c r="F455">
        <f t="shared" si="7"/>
        <v>0.6</v>
      </c>
    </row>
    <row r="456" spans="1:6" x14ac:dyDescent="0.3">
      <c r="A456" t="s">
        <v>10</v>
      </c>
      <c r="B456" t="s">
        <v>5</v>
      </c>
      <c r="C456">
        <v>1</v>
      </c>
      <c r="D456">
        <v>2</v>
      </c>
      <c r="E456" s="24">
        <v>39751949300</v>
      </c>
      <c r="F456">
        <f t="shared" si="7"/>
        <v>0.7</v>
      </c>
    </row>
    <row r="457" spans="1:6" x14ac:dyDescent="0.3">
      <c r="A457" t="s">
        <v>10</v>
      </c>
      <c r="B457" t="s">
        <v>5</v>
      </c>
      <c r="C457">
        <v>1</v>
      </c>
      <c r="D457">
        <v>2</v>
      </c>
      <c r="E457" s="24">
        <v>32825241500</v>
      </c>
      <c r="F457">
        <f t="shared" si="7"/>
        <v>0.5</v>
      </c>
    </row>
    <row r="458" spans="1:6" x14ac:dyDescent="0.3">
      <c r="A458" t="s">
        <v>10</v>
      </c>
      <c r="B458" t="s">
        <v>5</v>
      </c>
      <c r="C458">
        <v>1</v>
      </c>
      <c r="D458">
        <v>2</v>
      </c>
      <c r="E458" s="24">
        <v>39013680400</v>
      </c>
      <c r="F458">
        <f t="shared" si="7"/>
        <v>0.7</v>
      </c>
    </row>
    <row r="459" spans="1:6" x14ac:dyDescent="0.3">
      <c r="A459" t="s">
        <v>10</v>
      </c>
      <c r="B459" t="s">
        <v>5</v>
      </c>
      <c r="C459">
        <v>1</v>
      </c>
      <c r="D459">
        <v>2</v>
      </c>
      <c r="E459" s="24">
        <v>68701797800</v>
      </c>
      <c r="F459">
        <f t="shared" si="7"/>
        <v>1.1000000000000001</v>
      </c>
    </row>
    <row r="460" spans="1:6" x14ac:dyDescent="0.3">
      <c r="A460" t="s">
        <v>10</v>
      </c>
      <c r="B460" t="s">
        <v>5</v>
      </c>
      <c r="C460">
        <v>1</v>
      </c>
      <c r="D460">
        <v>2</v>
      </c>
      <c r="E460" s="24">
        <v>96004722900</v>
      </c>
      <c r="F460">
        <f t="shared" si="7"/>
        <v>1.6</v>
      </c>
    </row>
    <row r="461" spans="1:6" x14ac:dyDescent="0.3">
      <c r="A461" t="s">
        <v>10</v>
      </c>
      <c r="B461" t="s">
        <v>5</v>
      </c>
      <c r="C461">
        <v>1</v>
      </c>
      <c r="D461">
        <v>2</v>
      </c>
      <c r="E461" s="24">
        <v>119362994200</v>
      </c>
      <c r="F461">
        <f t="shared" si="7"/>
        <v>2</v>
      </c>
    </row>
    <row r="462" spans="1:6" x14ac:dyDescent="0.3">
      <c r="A462" t="s">
        <v>10</v>
      </c>
      <c r="B462" t="s">
        <v>5</v>
      </c>
      <c r="C462">
        <v>1</v>
      </c>
      <c r="D462">
        <v>2</v>
      </c>
      <c r="E462" s="24">
        <v>80918131500</v>
      </c>
      <c r="F462">
        <f t="shared" si="7"/>
        <v>1.3</v>
      </c>
    </row>
    <row r="463" spans="1:6" x14ac:dyDescent="0.3">
      <c r="A463" t="s">
        <v>10</v>
      </c>
      <c r="B463" t="s">
        <v>5</v>
      </c>
      <c r="C463">
        <v>1</v>
      </c>
      <c r="D463">
        <v>2</v>
      </c>
      <c r="E463" s="24">
        <v>127996870600</v>
      </c>
      <c r="F463">
        <f t="shared" si="7"/>
        <v>2.1</v>
      </c>
    </row>
    <row r="464" spans="1:6" x14ac:dyDescent="0.3">
      <c r="A464" t="s">
        <v>10</v>
      </c>
      <c r="B464" t="s">
        <v>5</v>
      </c>
      <c r="C464">
        <v>1</v>
      </c>
      <c r="D464">
        <v>2</v>
      </c>
      <c r="E464" s="24">
        <v>81994584000</v>
      </c>
      <c r="F464">
        <f t="shared" si="7"/>
        <v>1.4</v>
      </c>
    </row>
    <row r="465" spans="1:6" x14ac:dyDescent="0.3">
      <c r="A465" t="s">
        <v>10</v>
      </c>
      <c r="B465" t="s">
        <v>5</v>
      </c>
      <c r="C465">
        <v>1</v>
      </c>
      <c r="D465">
        <v>2</v>
      </c>
      <c r="E465" s="24">
        <v>167984695400</v>
      </c>
      <c r="F465">
        <f t="shared" si="7"/>
        <v>2.8</v>
      </c>
    </row>
    <row r="466" spans="1:6" x14ac:dyDescent="0.3">
      <c r="A466" t="s">
        <v>10</v>
      </c>
      <c r="B466" t="s">
        <v>5</v>
      </c>
      <c r="C466">
        <v>1</v>
      </c>
      <c r="D466">
        <v>2</v>
      </c>
      <c r="E466" s="24">
        <v>106484710200</v>
      </c>
      <c r="F466">
        <f t="shared" si="7"/>
        <v>1.8</v>
      </c>
    </row>
    <row r="467" spans="1:6" x14ac:dyDescent="0.3">
      <c r="A467" t="s">
        <v>10</v>
      </c>
      <c r="B467" t="s">
        <v>5</v>
      </c>
      <c r="C467">
        <v>1</v>
      </c>
      <c r="D467">
        <v>2</v>
      </c>
      <c r="E467" s="24">
        <v>115276377200</v>
      </c>
      <c r="F467">
        <f t="shared" si="7"/>
        <v>1.9</v>
      </c>
    </row>
    <row r="468" spans="1:6" x14ac:dyDescent="0.3">
      <c r="A468" t="s">
        <v>10</v>
      </c>
      <c r="B468" t="s">
        <v>1</v>
      </c>
      <c r="C468">
        <v>1</v>
      </c>
      <c r="D468">
        <v>2</v>
      </c>
      <c r="E468" s="24">
        <v>5452443400</v>
      </c>
      <c r="F468">
        <f t="shared" si="7"/>
        <v>0.1</v>
      </c>
    </row>
    <row r="469" spans="1:6" x14ac:dyDescent="0.3">
      <c r="A469" t="s">
        <v>10</v>
      </c>
      <c r="B469" t="s">
        <v>1</v>
      </c>
      <c r="C469">
        <v>1</v>
      </c>
      <c r="D469">
        <v>2</v>
      </c>
      <c r="E469" s="24">
        <v>1605545300</v>
      </c>
      <c r="F469">
        <f t="shared" si="7"/>
        <v>0</v>
      </c>
    </row>
    <row r="470" spans="1:6" x14ac:dyDescent="0.3">
      <c r="A470" t="s">
        <v>10</v>
      </c>
      <c r="B470" t="s">
        <v>1</v>
      </c>
      <c r="C470">
        <v>1</v>
      </c>
      <c r="D470">
        <v>2</v>
      </c>
      <c r="E470" s="24">
        <v>3228647500</v>
      </c>
      <c r="F470">
        <f t="shared" si="7"/>
        <v>0.1</v>
      </c>
    </row>
    <row r="471" spans="1:6" x14ac:dyDescent="0.3">
      <c r="A471" t="s">
        <v>10</v>
      </c>
      <c r="B471" t="s">
        <v>1</v>
      </c>
      <c r="C471">
        <v>1</v>
      </c>
      <c r="D471">
        <v>2</v>
      </c>
      <c r="E471" s="24">
        <v>3332778500</v>
      </c>
      <c r="F471">
        <f t="shared" si="7"/>
        <v>0.1</v>
      </c>
    </row>
    <row r="472" spans="1:6" x14ac:dyDescent="0.3">
      <c r="A472" t="s">
        <v>10</v>
      </c>
      <c r="B472" t="s">
        <v>1</v>
      </c>
      <c r="C472">
        <v>1</v>
      </c>
      <c r="D472">
        <v>2</v>
      </c>
      <c r="E472" s="24">
        <v>3597648900</v>
      </c>
      <c r="F472">
        <f t="shared" si="7"/>
        <v>0.1</v>
      </c>
    </row>
    <row r="473" spans="1:6" x14ac:dyDescent="0.3">
      <c r="A473" t="s">
        <v>10</v>
      </c>
      <c r="B473" t="s">
        <v>1</v>
      </c>
      <c r="C473">
        <v>1</v>
      </c>
      <c r="D473">
        <v>2</v>
      </c>
      <c r="E473" s="24">
        <v>3204927400</v>
      </c>
      <c r="F473">
        <f t="shared" si="7"/>
        <v>0.1</v>
      </c>
    </row>
    <row r="474" spans="1:6" x14ac:dyDescent="0.3">
      <c r="A474" t="s">
        <v>10</v>
      </c>
      <c r="B474" t="s">
        <v>1</v>
      </c>
      <c r="C474">
        <v>1</v>
      </c>
      <c r="D474">
        <v>2</v>
      </c>
      <c r="E474" s="24">
        <v>4406587300</v>
      </c>
      <c r="F474">
        <f t="shared" si="7"/>
        <v>0.1</v>
      </c>
    </row>
    <row r="475" spans="1:6" x14ac:dyDescent="0.3">
      <c r="A475" t="s">
        <v>10</v>
      </c>
      <c r="B475" t="s">
        <v>2</v>
      </c>
      <c r="C475">
        <v>1</v>
      </c>
      <c r="D475">
        <v>2</v>
      </c>
      <c r="E475" s="24">
        <v>113798900</v>
      </c>
      <c r="F475">
        <f t="shared" si="7"/>
        <v>0</v>
      </c>
    </row>
    <row r="476" spans="1:6" x14ac:dyDescent="0.3">
      <c r="A476" t="s">
        <v>10</v>
      </c>
      <c r="B476" t="s">
        <v>2</v>
      </c>
      <c r="C476">
        <v>1</v>
      </c>
      <c r="D476">
        <v>2</v>
      </c>
      <c r="E476" s="24">
        <v>266044700</v>
      </c>
      <c r="F476">
        <f t="shared" si="7"/>
        <v>0</v>
      </c>
    </row>
    <row r="477" spans="1:6" x14ac:dyDescent="0.3">
      <c r="A477" t="s">
        <v>10</v>
      </c>
      <c r="B477" t="s">
        <v>2</v>
      </c>
      <c r="C477">
        <v>1</v>
      </c>
      <c r="D477">
        <v>2</v>
      </c>
      <c r="E477" s="24">
        <v>844768600</v>
      </c>
      <c r="F477">
        <f t="shared" si="7"/>
        <v>0</v>
      </c>
    </row>
    <row r="478" spans="1:6" x14ac:dyDescent="0.3">
      <c r="A478" t="s">
        <v>10</v>
      </c>
      <c r="B478" t="s">
        <v>2</v>
      </c>
      <c r="C478">
        <v>1</v>
      </c>
      <c r="D478">
        <v>2</v>
      </c>
      <c r="E478" s="24">
        <v>233496000</v>
      </c>
      <c r="F478">
        <f t="shared" si="7"/>
        <v>0</v>
      </c>
    </row>
    <row r="479" spans="1:6" x14ac:dyDescent="0.3">
      <c r="A479" t="s">
        <v>10</v>
      </c>
      <c r="B479" t="s">
        <v>2</v>
      </c>
      <c r="C479">
        <v>1</v>
      </c>
      <c r="D479">
        <v>2</v>
      </c>
      <c r="E479" s="24">
        <v>928250000</v>
      </c>
      <c r="F479">
        <f t="shared" si="7"/>
        <v>0</v>
      </c>
    </row>
    <row r="480" spans="1:6" x14ac:dyDescent="0.3">
      <c r="A480" t="s">
        <v>10</v>
      </c>
      <c r="B480" t="s">
        <v>2</v>
      </c>
      <c r="C480">
        <v>1</v>
      </c>
      <c r="D480">
        <v>2</v>
      </c>
      <c r="E480" s="24">
        <v>369225300</v>
      </c>
      <c r="F480">
        <f t="shared" si="7"/>
        <v>0</v>
      </c>
    </row>
    <row r="481" spans="1:6" x14ac:dyDescent="0.3">
      <c r="A481" t="s">
        <v>4</v>
      </c>
      <c r="B481" t="s">
        <v>3</v>
      </c>
      <c r="C481">
        <v>0</v>
      </c>
      <c r="D481">
        <v>4</v>
      </c>
      <c r="E481" s="24">
        <v>450283972900</v>
      </c>
      <c r="F481">
        <f t="shared" si="7"/>
        <v>7.5</v>
      </c>
    </row>
    <row r="482" spans="1:6" x14ac:dyDescent="0.3">
      <c r="A482" t="s">
        <v>4</v>
      </c>
      <c r="B482" t="s">
        <v>3</v>
      </c>
      <c r="C482">
        <v>0</v>
      </c>
      <c r="D482">
        <v>4</v>
      </c>
      <c r="E482" s="24">
        <v>53091907700</v>
      </c>
      <c r="F482">
        <f t="shared" si="7"/>
        <v>0.9</v>
      </c>
    </row>
    <row r="483" spans="1:6" x14ac:dyDescent="0.3">
      <c r="A483" t="s">
        <v>4</v>
      </c>
      <c r="B483" t="s">
        <v>3</v>
      </c>
      <c r="C483">
        <v>0</v>
      </c>
      <c r="D483">
        <v>4</v>
      </c>
      <c r="E483" s="24">
        <v>228624220600</v>
      </c>
      <c r="F483">
        <f t="shared" si="7"/>
        <v>3.8</v>
      </c>
    </row>
    <row r="484" spans="1:6" x14ac:dyDescent="0.3">
      <c r="A484" t="s">
        <v>4</v>
      </c>
      <c r="B484" t="s">
        <v>3</v>
      </c>
      <c r="C484">
        <v>0</v>
      </c>
      <c r="D484">
        <v>4</v>
      </c>
      <c r="E484" s="24">
        <v>223684004600</v>
      </c>
      <c r="F484">
        <f t="shared" si="7"/>
        <v>3.7</v>
      </c>
    </row>
    <row r="485" spans="1:6" x14ac:dyDescent="0.3">
      <c r="A485" t="s">
        <v>4</v>
      </c>
      <c r="B485" t="s">
        <v>3</v>
      </c>
      <c r="C485">
        <v>0</v>
      </c>
      <c r="D485">
        <v>4</v>
      </c>
      <c r="E485" s="24">
        <v>277913874300</v>
      </c>
      <c r="F485">
        <f t="shared" si="7"/>
        <v>4.5999999999999996</v>
      </c>
    </row>
    <row r="486" spans="1:6" x14ac:dyDescent="0.3">
      <c r="A486" t="s">
        <v>4</v>
      </c>
      <c r="B486" t="s">
        <v>3</v>
      </c>
      <c r="C486">
        <v>0</v>
      </c>
      <c r="D486">
        <v>4</v>
      </c>
      <c r="E486" s="24">
        <v>737899227400</v>
      </c>
      <c r="F486">
        <f t="shared" si="7"/>
        <v>12.3</v>
      </c>
    </row>
    <row r="487" spans="1:6" x14ac:dyDescent="0.3">
      <c r="A487" t="s">
        <v>4</v>
      </c>
      <c r="B487" t="s">
        <v>5</v>
      </c>
      <c r="C487">
        <v>1</v>
      </c>
      <c r="D487">
        <v>4</v>
      </c>
      <c r="E487" s="24">
        <v>982156018400</v>
      </c>
      <c r="F487">
        <f t="shared" si="7"/>
        <v>16.399999999999999</v>
      </c>
    </row>
    <row r="488" spans="1:6" x14ac:dyDescent="0.3">
      <c r="A488" t="s">
        <v>4</v>
      </c>
      <c r="B488" t="s">
        <v>5</v>
      </c>
      <c r="C488">
        <v>1</v>
      </c>
      <c r="D488">
        <v>4</v>
      </c>
      <c r="E488" s="24">
        <v>209481731200</v>
      </c>
      <c r="F488">
        <f t="shared" si="7"/>
        <v>3.5</v>
      </c>
    </row>
    <row r="489" spans="1:6" x14ac:dyDescent="0.3">
      <c r="A489" t="s">
        <v>4</v>
      </c>
      <c r="B489" t="s">
        <v>5</v>
      </c>
      <c r="C489">
        <v>1</v>
      </c>
      <c r="D489">
        <v>4</v>
      </c>
      <c r="E489" s="24">
        <v>202662585500</v>
      </c>
      <c r="F489">
        <f t="shared" si="7"/>
        <v>3.4</v>
      </c>
    </row>
    <row r="490" spans="1:6" x14ac:dyDescent="0.3">
      <c r="A490" t="s">
        <v>4</v>
      </c>
      <c r="B490" t="s">
        <v>5</v>
      </c>
      <c r="C490">
        <v>1</v>
      </c>
      <c r="D490">
        <v>4</v>
      </c>
      <c r="E490" s="24">
        <v>183242736500</v>
      </c>
      <c r="F490">
        <f t="shared" si="7"/>
        <v>3.1</v>
      </c>
    </row>
    <row r="491" spans="1:6" x14ac:dyDescent="0.3">
      <c r="A491" t="s">
        <v>4</v>
      </c>
      <c r="B491" t="s">
        <v>5</v>
      </c>
      <c r="C491">
        <v>1</v>
      </c>
      <c r="D491">
        <v>4</v>
      </c>
      <c r="E491" s="24">
        <v>189629431400</v>
      </c>
      <c r="F491">
        <f t="shared" si="7"/>
        <v>3.2</v>
      </c>
    </row>
    <row r="492" spans="1:6" x14ac:dyDescent="0.3">
      <c r="A492" t="s">
        <v>4</v>
      </c>
      <c r="B492" t="s">
        <v>5</v>
      </c>
      <c r="C492">
        <v>0</v>
      </c>
      <c r="D492">
        <v>4</v>
      </c>
      <c r="E492" s="24">
        <v>224442927300</v>
      </c>
      <c r="F492">
        <f t="shared" si="7"/>
        <v>3.7</v>
      </c>
    </row>
    <row r="493" spans="1:6" x14ac:dyDescent="0.3">
      <c r="A493" t="s">
        <v>4</v>
      </c>
      <c r="B493" t="s">
        <v>5</v>
      </c>
      <c r="C493">
        <v>1</v>
      </c>
      <c r="D493">
        <v>4</v>
      </c>
      <c r="E493" s="24">
        <v>240501788700</v>
      </c>
      <c r="F493">
        <f t="shared" si="7"/>
        <v>4</v>
      </c>
    </row>
    <row r="494" spans="1:6" x14ac:dyDescent="0.3">
      <c r="A494" t="s">
        <v>4</v>
      </c>
      <c r="B494" t="s">
        <v>5</v>
      </c>
      <c r="C494">
        <v>1</v>
      </c>
      <c r="D494">
        <v>4</v>
      </c>
      <c r="E494" s="24">
        <v>215679394300</v>
      </c>
      <c r="F494">
        <f t="shared" si="7"/>
        <v>3.6</v>
      </c>
    </row>
    <row r="495" spans="1:6" x14ac:dyDescent="0.3">
      <c r="A495" t="s">
        <v>4</v>
      </c>
      <c r="B495" t="s">
        <v>5</v>
      </c>
      <c r="C495">
        <v>1</v>
      </c>
      <c r="D495">
        <v>4</v>
      </c>
      <c r="E495" s="24">
        <v>240112628200</v>
      </c>
      <c r="F495">
        <f t="shared" si="7"/>
        <v>4</v>
      </c>
    </row>
    <row r="496" spans="1:6" x14ac:dyDescent="0.3">
      <c r="A496" t="s">
        <v>4</v>
      </c>
      <c r="B496" t="s">
        <v>5</v>
      </c>
      <c r="C496">
        <v>0</v>
      </c>
      <c r="D496">
        <v>4</v>
      </c>
      <c r="E496" s="24">
        <v>297173196000</v>
      </c>
      <c r="F496">
        <f t="shared" si="7"/>
        <v>5</v>
      </c>
    </row>
    <row r="497" spans="1:6" x14ac:dyDescent="0.3">
      <c r="A497" t="s">
        <v>4</v>
      </c>
      <c r="B497" t="s">
        <v>5</v>
      </c>
      <c r="C497">
        <v>0</v>
      </c>
      <c r="D497">
        <v>4</v>
      </c>
      <c r="E497" s="24">
        <v>723684911400</v>
      </c>
      <c r="F497">
        <f t="shared" si="7"/>
        <v>12.1</v>
      </c>
    </row>
    <row r="498" spans="1:6" x14ac:dyDescent="0.3">
      <c r="A498" t="s">
        <v>4</v>
      </c>
      <c r="B498" t="s">
        <v>5</v>
      </c>
      <c r="C498">
        <v>1</v>
      </c>
      <c r="D498">
        <v>4</v>
      </c>
      <c r="E498" s="24">
        <v>756930599400</v>
      </c>
      <c r="F498">
        <f t="shared" si="7"/>
        <v>12.6</v>
      </c>
    </row>
    <row r="499" spans="1:6" x14ac:dyDescent="0.3">
      <c r="A499" t="s">
        <v>4</v>
      </c>
      <c r="B499" t="s">
        <v>5</v>
      </c>
      <c r="C499">
        <v>0</v>
      </c>
      <c r="D499">
        <v>4</v>
      </c>
      <c r="E499" s="24">
        <v>771107649900</v>
      </c>
      <c r="F499">
        <f t="shared" si="7"/>
        <v>12.9</v>
      </c>
    </row>
    <row r="500" spans="1:6" x14ac:dyDescent="0.3">
      <c r="A500" t="s">
        <v>4</v>
      </c>
      <c r="B500" t="s">
        <v>5</v>
      </c>
      <c r="C500">
        <v>1</v>
      </c>
      <c r="D500">
        <v>4</v>
      </c>
      <c r="E500" s="24">
        <v>1336915698200</v>
      </c>
      <c r="F500">
        <f t="shared" si="7"/>
        <v>22.3</v>
      </c>
    </row>
    <row r="501" spans="1:6" x14ac:dyDescent="0.3">
      <c r="A501" t="s">
        <v>4</v>
      </c>
      <c r="B501" t="s">
        <v>1</v>
      </c>
      <c r="C501">
        <v>0</v>
      </c>
      <c r="D501">
        <v>4</v>
      </c>
      <c r="E501" s="24">
        <v>53488643300</v>
      </c>
      <c r="F501">
        <f t="shared" si="7"/>
        <v>0.9</v>
      </c>
    </row>
    <row r="502" spans="1:6" x14ac:dyDescent="0.3">
      <c r="A502" t="s">
        <v>4</v>
      </c>
      <c r="B502" t="s">
        <v>1</v>
      </c>
      <c r="C502">
        <v>0</v>
      </c>
      <c r="D502">
        <v>4</v>
      </c>
      <c r="E502" s="24">
        <v>208997416300</v>
      </c>
      <c r="F502">
        <f t="shared" si="7"/>
        <v>3.5</v>
      </c>
    </row>
    <row r="503" spans="1:6" x14ac:dyDescent="0.3">
      <c r="A503" t="s">
        <v>4</v>
      </c>
      <c r="B503" t="s">
        <v>1</v>
      </c>
      <c r="C503">
        <v>1</v>
      </c>
      <c r="D503">
        <v>4</v>
      </c>
      <c r="E503" s="24">
        <v>612738740300</v>
      </c>
      <c r="F503">
        <f t="shared" si="7"/>
        <v>10.199999999999999</v>
      </c>
    </row>
    <row r="504" spans="1:6" x14ac:dyDescent="0.3">
      <c r="A504" t="s">
        <v>4</v>
      </c>
      <c r="B504" t="s">
        <v>1</v>
      </c>
      <c r="C504">
        <v>0</v>
      </c>
      <c r="D504">
        <v>4</v>
      </c>
      <c r="E504" s="24">
        <v>326929365200</v>
      </c>
      <c r="F504">
        <f t="shared" si="7"/>
        <v>5.4</v>
      </c>
    </row>
    <row r="505" spans="1:6" x14ac:dyDescent="0.3">
      <c r="A505" t="s">
        <v>4</v>
      </c>
      <c r="B505" t="s">
        <v>1</v>
      </c>
      <c r="C505">
        <v>1</v>
      </c>
      <c r="D505">
        <v>4</v>
      </c>
      <c r="E505" s="24">
        <v>1101805508000</v>
      </c>
      <c r="F505">
        <f t="shared" si="7"/>
        <v>18.399999999999999</v>
      </c>
    </row>
    <row r="506" spans="1:6" x14ac:dyDescent="0.3">
      <c r="A506" t="s">
        <v>4</v>
      </c>
      <c r="B506" t="s">
        <v>2</v>
      </c>
      <c r="C506">
        <v>1</v>
      </c>
      <c r="D506">
        <v>4</v>
      </c>
      <c r="E506" s="24">
        <v>107322931100</v>
      </c>
      <c r="F506">
        <f t="shared" si="7"/>
        <v>1.8</v>
      </c>
    </row>
    <row r="507" spans="1:6" x14ac:dyDescent="0.3">
      <c r="A507" t="s">
        <v>4</v>
      </c>
      <c r="B507" t="s">
        <v>2</v>
      </c>
      <c r="C507">
        <v>1</v>
      </c>
      <c r="D507">
        <v>4</v>
      </c>
      <c r="E507" s="24">
        <v>374853867200</v>
      </c>
      <c r="F507">
        <f t="shared" si="7"/>
        <v>6.2</v>
      </c>
    </row>
    <row r="508" spans="1:6" x14ac:dyDescent="0.3">
      <c r="A508" t="s">
        <v>4</v>
      </c>
      <c r="B508" t="s">
        <v>2</v>
      </c>
      <c r="C508">
        <v>1</v>
      </c>
      <c r="D508">
        <v>4</v>
      </c>
      <c r="E508" s="24">
        <v>449510188900</v>
      </c>
      <c r="F508">
        <f t="shared" si="7"/>
        <v>7.5</v>
      </c>
    </row>
    <row r="509" spans="1:6" x14ac:dyDescent="0.3">
      <c r="A509" t="s">
        <v>4</v>
      </c>
      <c r="B509" t="s">
        <v>2</v>
      </c>
      <c r="C509">
        <v>1</v>
      </c>
      <c r="D509">
        <v>4</v>
      </c>
      <c r="E509" s="24">
        <v>371951135300</v>
      </c>
      <c r="F509">
        <f t="shared" si="7"/>
        <v>6.2</v>
      </c>
    </row>
    <row r="510" spans="1:6" x14ac:dyDescent="0.3">
      <c r="A510" t="s">
        <v>4</v>
      </c>
      <c r="B510" t="s">
        <v>2</v>
      </c>
      <c r="C510">
        <v>1</v>
      </c>
      <c r="D510">
        <v>4</v>
      </c>
      <c r="E510" s="24">
        <v>796967938700</v>
      </c>
      <c r="F510">
        <f t="shared" si="7"/>
        <v>13.3</v>
      </c>
    </row>
    <row r="511" spans="1:6" x14ac:dyDescent="0.3">
      <c r="A511" t="s">
        <v>4</v>
      </c>
      <c r="B511" t="s">
        <v>10</v>
      </c>
      <c r="C511">
        <v>0</v>
      </c>
      <c r="D511">
        <v>4</v>
      </c>
      <c r="E511" s="24">
        <v>385856577800</v>
      </c>
      <c r="F511">
        <f t="shared" si="7"/>
        <v>6.4</v>
      </c>
    </row>
    <row r="512" spans="1:6" x14ac:dyDescent="0.3">
      <c r="A512" t="s">
        <v>4</v>
      </c>
      <c r="B512" t="s">
        <v>10</v>
      </c>
      <c r="C512">
        <v>1</v>
      </c>
      <c r="D512">
        <v>4</v>
      </c>
      <c r="E512" s="24">
        <v>79306107800</v>
      </c>
      <c r="F512">
        <f t="shared" si="7"/>
        <v>1.3</v>
      </c>
    </row>
    <row r="513" spans="1:6" x14ac:dyDescent="0.3">
      <c r="A513" t="s">
        <v>4</v>
      </c>
      <c r="B513" t="s">
        <v>10</v>
      </c>
      <c r="C513">
        <v>1</v>
      </c>
      <c r="D513">
        <v>4</v>
      </c>
      <c r="E513" s="24">
        <v>226328985200</v>
      </c>
      <c r="F513">
        <f t="shared" si="7"/>
        <v>3.8</v>
      </c>
    </row>
    <row r="514" spans="1:6" x14ac:dyDescent="0.3">
      <c r="A514" t="s">
        <v>4</v>
      </c>
      <c r="B514" t="s">
        <v>10</v>
      </c>
      <c r="C514">
        <v>0</v>
      </c>
      <c r="D514">
        <v>4</v>
      </c>
      <c r="E514" s="24">
        <v>363580724600</v>
      </c>
      <c r="F514">
        <f t="shared" ref="F514:F577" si="8">ROUND(E514/60000000000, 1)</f>
        <v>6.1</v>
      </c>
    </row>
    <row r="515" spans="1:6" x14ac:dyDescent="0.3">
      <c r="A515" t="s">
        <v>4</v>
      </c>
      <c r="B515" t="s">
        <v>10</v>
      </c>
      <c r="C515">
        <v>1</v>
      </c>
      <c r="D515">
        <v>4</v>
      </c>
      <c r="E515" s="24">
        <v>330112733100</v>
      </c>
      <c r="F515">
        <f t="shared" si="8"/>
        <v>5.5</v>
      </c>
    </row>
    <row r="516" spans="1:6" x14ac:dyDescent="0.3">
      <c r="A516" t="s">
        <v>4</v>
      </c>
      <c r="B516" t="s">
        <v>10</v>
      </c>
      <c r="C516">
        <v>1</v>
      </c>
      <c r="D516">
        <v>4</v>
      </c>
      <c r="E516" s="24">
        <v>402454614700</v>
      </c>
      <c r="F516">
        <f t="shared" si="8"/>
        <v>6.7</v>
      </c>
    </row>
    <row r="517" spans="1:6" x14ac:dyDescent="0.3">
      <c r="A517" t="s">
        <v>3</v>
      </c>
      <c r="B517" t="s">
        <v>4</v>
      </c>
      <c r="C517">
        <v>1</v>
      </c>
      <c r="D517">
        <v>4</v>
      </c>
      <c r="E517" s="24">
        <v>118289493800</v>
      </c>
      <c r="F517">
        <f t="shared" si="8"/>
        <v>2</v>
      </c>
    </row>
    <row r="518" spans="1:6" x14ac:dyDescent="0.3">
      <c r="A518" t="s">
        <v>3</v>
      </c>
      <c r="B518" t="s">
        <v>4</v>
      </c>
      <c r="C518">
        <v>1</v>
      </c>
      <c r="D518">
        <v>4</v>
      </c>
      <c r="E518" s="24">
        <v>317736523800</v>
      </c>
      <c r="F518">
        <f t="shared" si="8"/>
        <v>5.3</v>
      </c>
    </row>
    <row r="519" spans="1:6" x14ac:dyDescent="0.3">
      <c r="A519" t="s">
        <v>3</v>
      </c>
      <c r="B519" t="s">
        <v>4</v>
      </c>
      <c r="C519">
        <v>1</v>
      </c>
      <c r="D519">
        <v>4</v>
      </c>
      <c r="E519" s="24">
        <v>675304166400</v>
      </c>
      <c r="F519">
        <f t="shared" si="8"/>
        <v>11.3</v>
      </c>
    </row>
    <row r="520" spans="1:6" x14ac:dyDescent="0.3">
      <c r="A520" t="s">
        <v>3</v>
      </c>
      <c r="B520" t="s">
        <v>4</v>
      </c>
      <c r="C520">
        <v>1</v>
      </c>
      <c r="D520">
        <v>4</v>
      </c>
      <c r="E520" s="24">
        <v>451356604600</v>
      </c>
      <c r="F520">
        <f t="shared" si="8"/>
        <v>7.5</v>
      </c>
    </row>
    <row r="521" spans="1:6" x14ac:dyDescent="0.3">
      <c r="A521" t="s">
        <v>3</v>
      </c>
      <c r="B521" t="s">
        <v>4</v>
      </c>
      <c r="C521">
        <v>1</v>
      </c>
      <c r="D521">
        <v>4</v>
      </c>
      <c r="E521" s="24">
        <v>593294149200</v>
      </c>
      <c r="F521">
        <f t="shared" si="8"/>
        <v>9.9</v>
      </c>
    </row>
    <row r="522" spans="1:6" x14ac:dyDescent="0.3">
      <c r="A522" t="s">
        <v>3</v>
      </c>
      <c r="B522" t="s">
        <v>5</v>
      </c>
      <c r="C522">
        <v>1</v>
      </c>
      <c r="D522">
        <v>4</v>
      </c>
      <c r="E522" s="24">
        <v>435120978201</v>
      </c>
      <c r="F522">
        <f t="shared" si="8"/>
        <v>7.3</v>
      </c>
    </row>
    <row r="523" spans="1:6" x14ac:dyDescent="0.3">
      <c r="A523" t="s">
        <v>3</v>
      </c>
      <c r="B523" t="s">
        <v>5</v>
      </c>
      <c r="C523">
        <v>1</v>
      </c>
      <c r="D523">
        <v>4</v>
      </c>
      <c r="E523" s="24">
        <v>442034520100</v>
      </c>
      <c r="F523">
        <f t="shared" si="8"/>
        <v>7.4</v>
      </c>
    </row>
    <row r="524" spans="1:6" x14ac:dyDescent="0.3">
      <c r="A524" t="s">
        <v>3</v>
      </c>
      <c r="B524" t="s">
        <v>5</v>
      </c>
      <c r="C524">
        <v>1</v>
      </c>
      <c r="D524">
        <v>4</v>
      </c>
      <c r="E524" s="24">
        <v>541733655800</v>
      </c>
      <c r="F524">
        <f t="shared" si="8"/>
        <v>9</v>
      </c>
    </row>
    <row r="525" spans="1:6" x14ac:dyDescent="0.3">
      <c r="A525" t="s">
        <v>3</v>
      </c>
      <c r="B525" t="s">
        <v>5</v>
      </c>
      <c r="C525">
        <v>1</v>
      </c>
      <c r="D525">
        <v>4</v>
      </c>
      <c r="E525" s="24">
        <v>535642964900</v>
      </c>
      <c r="F525">
        <f t="shared" si="8"/>
        <v>8.9</v>
      </c>
    </row>
    <row r="526" spans="1:6" x14ac:dyDescent="0.3">
      <c r="A526" t="s">
        <v>3</v>
      </c>
      <c r="B526" t="s">
        <v>5</v>
      </c>
      <c r="C526">
        <v>1</v>
      </c>
      <c r="D526">
        <v>4</v>
      </c>
      <c r="E526" s="24">
        <v>461344788400</v>
      </c>
      <c r="F526">
        <f t="shared" si="8"/>
        <v>7.7</v>
      </c>
    </row>
    <row r="527" spans="1:6" x14ac:dyDescent="0.3">
      <c r="A527" t="s">
        <v>3</v>
      </c>
      <c r="B527" t="s">
        <v>5</v>
      </c>
      <c r="C527">
        <v>1</v>
      </c>
      <c r="D527">
        <v>4</v>
      </c>
      <c r="E527" s="24">
        <v>577777919500</v>
      </c>
      <c r="F527">
        <f t="shared" si="8"/>
        <v>9.6</v>
      </c>
    </row>
    <row r="528" spans="1:6" x14ac:dyDescent="0.3">
      <c r="A528" t="s">
        <v>3</v>
      </c>
      <c r="B528" t="s">
        <v>5</v>
      </c>
      <c r="C528">
        <v>1</v>
      </c>
      <c r="D528">
        <v>4</v>
      </c>
      <c r="E528" s="24">
        <v>714148725200</v>
      </c>
      <c r="F528">
        <f t="shared" si="8"/>
        <v>11.9</v>
      </c>
    </row>
    <row r="529" spans="1:6" x14ac:dyDescent="0.3">
      <c r="A529" t="s">
        <v>3</v>
      </c>
      <c r="B529" t="s">
        <v>5</v>
      </c>
      <c r="C529">
        <v>0</v>
      </c>
      <c r="D529">
        <v>4</v>
      </c>
      <c r="E529" s="24">
        <v>182295325600</v>
      </c>
      <c r="F529">
        <f t="shared" si="8"/>
        <v>3</v>
      </c>
    </row>
    <row r="530" spans="1:6" x14ac:dyDescent="0.3">
      <c r="A530" t="s">
        <v>3</v>
      </c>
      <c r="B530" t="s">
        <v>5</v>
      </c>
      <c r="C530">
        <v>1</v>
      </c>
      <c r="D530">
        <v>4</v>
      </c>
      <c r="E530" s="24">
        <v>147523129000</v>
      </c>
      <c r="F530">
        <f t="shared" si="8"/>
        <v>2.5</v>
      </c>
    </row>
    <row r="531" spans="1:6" x14ac:dyDescent="0.3">
      <c r="A531" t="s">
        <v>3</v>
      </c>
      <c r="B531" t="s">
        <v>5</v>
      </c>
      <c r="C531">
        <v>1</v>
      </c>
      <c r="D531">
        <v>4</v>
      </c>
      <c r="E531" s="24">
        <v>169046593599</v>
      </c>
      <c r="F531">
        <f t="shared" si="8"/>
        <v>2.8</v>
      </c>
    </row>
    <row r="532" spans="1:6" x14ac:dyDescent="0.3">
      <c r="A532" t="s">
        <v>3</v>
      </c>
      <c r="B532" t="s">
        <v>5</v>
      </c>
      <c r="C532">
        <v>1</v>
      </c>
      <c r="D532">
        <v>4</v>
      </c>
      <c r="E532" s="24">
        <v>202350812900</v>
      </c>
      <c r="F532">
        <f t="shared" si="8"/>
        <v>3.4</v>
      </c>
    </row>
    <row r="533" spans="1:6" x14ac:dyDescent="0.3">
      <c r="A533" t="s">
        <v>3</v>
      </c>
      <c r="B533" t="s">
        <v>5</v>
      </c>
      <c r="C533">
        <v>1</v>
      </c>
      <c r="D533">
        <v>4</v>
      </c>
      <c r="E533" s="24">
        <v>176965758700</v>
      </c>
      <c r="F533">
        <f t="shared" si="8"/>
        <v>2.9</v>
      </c>
    </row>
    <row r="534" spans="1:6" x14ac:dyDescent="0.3">
      <c r="A534" t="s">
        <v>3</v>
      </c>
      <c r="B534" t="s">
        <v>5</v>
      </c>
      <c r="C534">
        <v>1</v>
      </c>
      <c r="D534">
        <v>4</v>
      </c>
      <c r="E534" s="24">
        <v>199484052800</v>
      </c>
      <c r="F534">
        <f t="shared" si="8"/>
        <v>3.3</v>
      </c>
    </row>
    <row r="535" spans="1:6" x14ac:dyDescent="0.3">
      <c r="A535" t="s">
        <v>3</v>
      </c>
      <c r="B535" t="s">
        <v>5</v>
      </c>
      <c r="C535">
        <v>1</v>
      </c>
      <c r="D535">
        <v>4</v>
      </c>
      <c r="E535" s="24">
        <v>160251787100</v>
      </c>
      <c r="F535">
        <f t="shared" si="8"/>
        <v>2.7</v>
      </c>
    </row>
    <row r="536" spans="1:6" x14ac:dyDescent="0.3">
      <c r="A536" t="s">
        <v>3</v>
      </c>
      <c r="B536" t="s">
        <v>5</v>
      </c>
      <c r="C536">
        <v>1</v>
      </c>
      <c r="D536">
        <v>4</v>
      </c>
      <c r="E536" s="24">
        <v>283571226500</v>
      </c>
      <c r="F536">
        <f t="shared" si="8"/>
        <v>4.7</v>
      </c>
    </row>
    <row r="537" spans="1:6" x14ac:dyDescent="0.3">
      <c r="A537" t="s">
        <v>3</v>
      </c>
      <c r="B537" t="s">
        <v>5</v>
      </c>
      <c r="C537">
        <v>1</v>
      </c>
      <c r="D537">
        <v>4</v>
      </c>
      <c r="E537" s="24">
        <v>218045984600</v>
      </c>
      <c r="F537">
        <f t="shared" si="8"/>
        <v>3.6</v>
      </c>
    </row>
    <row r="538" spans="1:6" x14ac:dyDescent="0.3">
      <c r="A538" t="s">
        <v>3</v>
      </c>
      <c r="B538" t="s">
        <v>5</v>
      </c>
      <c r="C538">
        <v>1</v>
      </c>
      <c r="D538">
        <v>4</v>
      </c>
      <c r="E538" s="24">
        <v>614695839400</v>
      </c>
      <c r="F538">
        <f t="shared" si="8"/>
        <v>10.199999999999999</v>
      </c>
    </row>
    <row r="539" spans="1:6" x14ac:dyDescent="0.3">
      <c r="A539" t="s">
        <v>3</v>
      </c>
      <c r="B539" t="s">
        <v>5</v>
      </c>
      <c r="C539">
        <v>1</v>
      </c>
      <c r="D539">
        <v>4</v>
      </c>
      <c r="E539" s="24">
        <v>350816090800</v>
      </c>
      <c r="F539">
        <f t="shared" si="8"/>
        <v>5.8</v>
      </c>
    </row>
    <row r="540" spans="1:6" x14ac:dyDescent="0.3">
      <c r="A540" t="s">
        <v>3</v>
      </c>
      <c r="B540" t="s">
        <v>5</v>
      </c>
      <c r="C540">
        <v>1</v>
      </c>
      <c r="D540">
        <v>4</v>
      </c>
      <c r="E540" s="24">
        <v>440968450500</v>
      </c>
      <c r="F540">
        <f t="shared" si="8"/>
        <v>7.3</v>
      </c>
    </row>
    <row r="541" spans="1:6" x14ac:dyDescent="0.3">
      <c r="A541" t="s">
        <v>3</v>
      </c>
      <c r="B541" t="s">
        <v>5</v>
      </c>
      <c r="C541">
        <v>1</v>
      </c>
      <c r="D541">
        <v>4</v>
      </c>
      <c r="E541" s="24">
        <v>2054132053100</v>
      </c>
      <c r="F541">
        <f t="shared" si="8"/>
        <v>34.200000000000003</v>
      </c>
    </row>
    <row r="542" spans="1:6" x14ac:dyDescent="0.3">
      <c r="A542" t="s">
        <v>3</v>
      </c>
      <c r="B542" t="s">
        <v>5</v>
      </c>
      <c r="C542">
        <v>1</v>
      </c>
      <c r="D542">
        <v>4</v>
      </c>
      <c r="E542" s="24">
        <v>347036181600</v>
      </c>
      <c r="F542">
        <f t="shared" si="8"/>
        <v>5.8</v>
      </c>
    </row>
    <row r="543" spans="1:6" x14ac:dyDescent="0.3">
      <c r="A543" t="s">
        <v>3</v>
      </c>
      <c r="B543" t="s">
        <v>5</v>
      </c>
      <c r="C543">
        <v>1</v>
      </c>
      <c r="D543">
        <v>4</v>
      </c>
      <c r="E543" s="24">
        <v>534075999400</v>
      </c>
      <c r="F543">
        <f t="shared" si="8"/>
        <v>8.9</v>
      </c>
    </row>
    <row r="544" spans="1:6" x14ac:dyDescent="0.3">
      <c r="A544" t="s">
        <v>3</v>
      </c>
      <c r="B544" t="s">
        <v>5</v>
      </c>
      <c r="C544">
        <v>1</v>
      </c>
      <c r="D544">
        <v>4</v>
      </c>
      <c r="E544" s="24">
        <v>561516246600</v>
      </c>
      <c r="F544">
        <f t="shared" si="8"/>
        <v>9.4</v>
      </c>
    </row>
    <row r="545" spans="1:6" x14ac:dyDescent="0.3">
      <c r="A545" t="s">
        <v>3</v>
      </c>
      <c r="B545" t="s">
        <v>5</v>
      </c>
      <c r="C545">
        <v>1</v>
      </c>
      <c r="D545">
        <v>4</v>
      </c>
      <c r="E545" s="24">
        <v>694633666000</v>
      </c>
      <c r="F545">
        <f t="shared" si="8"/>
        <v>11.6</v>
      </c>
    </row>
    <row r="546" spans="1:6" x14ac:dyDescent="0.3">
      <c r="A546" t="s">
        <v>3</v>
      </c>
      <c r="B546" t="s">
        <v>5</v>
      </c>
      <c r="C546">
        <v>1</v>
      </c>
      <c r="D546">
        <v>4</v>
      </c>
      <c r="E546" s="24">
        <v>629844290400</v>
      </c>
      <c r="F546">
        <f t="shared" si="8"/>
        <v>10.5</v>
      </c>
    </row>
    <row r="547" spans="1:6" x14ac:dyDescent="0.3">
      <c r="A547" t="s">
        <v>3</v>
      </c>
      <c r="B547" t="s">
        <v>1</v>
      </c>
      <c r="C547">
        <v>1</v>
      </c>
      <c r="D547">
        <v>4</v>
      </c>
      <c r="E547" s="24">
        <v>5561329200</v>
      </c>
      <c r="F547">
        <f t="shared" si="8"/>
        <v>0.1</v>
      </c>
    </row>
    <row r="548" spans="1:6" x14ac:dyDescent="0.3">
      <c r="A548" t="s">
        <v>3</v>
      </c>
      <c r="B548" t="s">
        <v>1</v>
      </c>
      <c r="C548">
        <v>1</v>
      </c>
      <c r="D548">
        <v>4</v>
      </c>
      <c r="E548" s="24">
        <v>1814416500</v>
      </c>
      <c r="F548">
        <f t="shared" si="8"/>
        <v>0</v>
      </c>
    </row>
    <row r="549" spans="1:6" x14ac:dyDescent="0.3">
      <c r="A549" t="s">
        <v>3</v>
      </c>
      <c r="B549" t="s">
        <v>1</v>
      </c>
      <c r="C549">
        <v>1</v>
      </c>
      <c r="D549">
        <v>4</v>
      </c>
      <c r="E549" s="24">
        <v>3558876900</v>
      </c>
      <c r="F549">
        <f t="shared" si="8"/>
        <v>0.1</v>
      </c>
    </row>
    <row r="550" spans="1:6" x14ac:dyDescent="0.3">
      <c r="A550" t="s">
        <v>3</v>
      </c>
      <c r="B550" t="s">
        <v>1</v>
      </c>
      <c r="C550">
        <v>0</v>
      </c>
      <c r="D550">
        <v>4</v>
      </c>
      <c r="E550" s="24">
        <v>2756236300</v>
      </c>
      <c r="F550">
        <f t="shared" si="8"/>
        <v>0</v>
      </c>
    </row>
    <row r="551" spans="1:6" x14ac:dyDescent="0.3">
      <c r="A551" t="s">
        <v>3</v>
      </c>
      <c r="B551" t="s">
        <v>1</v>
      </c>
      <c r="C551">
        <v>1</v>
      </c>
      <c r="D551">
        <v>4</v>
      </c>
      <c r="E551" s="24">
        <v>3562070700</v>
      </c>
      <c r="F551">
        <f t="shared" si="8"/>
        <v>0.1</v>
      </c>
    </row>
    <row r="552" spans="1:6" x14ac:dyDescent="0.3">
      <c r="A552" t="s">
        <v>3</v>
      </c>
      <c r="B552" t="s">
        <v>1</v>
      </c>
      <c r="C552">
        <v>1</v>
      </c>
      <c r="D552">
        <v>4</v>
      </c>
      <c r="E552" s="24">
        <v>3043027100</v>
      </c>
      <c r="F552">
        <f t="shared" si="8"/>
        <v>0.1</v>
      </c>
    </row>
    <row r="553" spans="1:6" x14ac:dyDescent="0.3">
      <c r="A553" t="s">
        <v>3</v>
      </c>
      <c r="B553" t="s">
        <v>2</v>
      </c>
      <c r="C553">
        <v>1</v>
      </c>
      <c r="D553">
        <v>4</v>
      </c>
      <c r="E553" s="24">
        <v>600618700</v>
      </c>
      <c r="F553">
        <f t="shared" si="8"/>
        <v>0</v>
      </c>
    </row>
    <row r="554" spans="1:6" x14ac:dyDescent="0.3">
      <c r="A554" t="s">
        <v>3</v>
      </c>
      <c r="B554" t="s">
        <v>2</v>
      </c>
      <c r="C554">
        <v>1</v>
      </c>
      <c r="D554">
        <v>4</v>
      </c>
      <c r="E554" s="24">
        <v>1200467500</v>
      </c>
      <c r="F554">
        <f t="shared" si="8"/>
        <v>0</v>
      </c>
    </row>
    <row r="555" spans="1:6" x14ac:dyDescent="0.3">
      <c r="A555" t="s">
        <v>3</v>
      </c>
      <c r="B555" t="s">
        <v>2</v>
      </c>
      <c r="C555">
        <v>1</v>
      </c>
      <c r="D555">
        <v>4</v>
      </c>
      <c r="E555" s="24">
        <v>1654814200</v>
      </c>
      <c r="F555">
        <f t="shared" si="8"/>
        <v>0</v>
      </c>
    </row>
    <row r="556" spans="1:6" x14ac:dyDescent="0.3">
      <c r="A556" t="s">
        <v>3</v>
      </c>
      <c r="B556" t="s">
        <v>2</v>
      </c>
      <c r="C556">
        <v>1</v>
      </c>
      <c r="D556">
        <v>4</v>
      </c>
      <c r="E556" s="24">
        <v>2718954500</v>
      </c>
      <c r="F556">
        <f t="shared" si="8"/>
        <v>0</v>
      </c>
    </row>
    <row r="557" spans="1:6" x14ac:dyDescent="0.3">
      <c r="A557" t="s">
        <v>3</v>
      </c>
      <c r="B557" t="s">
        <v>2</v>
      </c>
      <c r="C557">
        <v>1</v>
      </c>
      <c r="D557">
        <v>4</v>
      </c>
      <c r="E557" s="24">
        <v>2010403200</v>
      </c>
      <c r="F557">
        <f t="shared" si="8"/>
        <v>0</v>
      </c>
    </row>
    <row r="558" spans="1:6" x14ac:dyDescent="0.3">
      <c r="A558" t="s">
        <v>3</v>
      </c>
      <c r="B558" t="s">
        <v>10</v>
      </c>
      <c r="C558">
        <v>1</v>
      </c>
      <c r="D558">
        <v>4</v>
      </c>
      <c r="E558" s="24">
        <v>1035588600</v>
      </c>
      <c r="F558">
        <f t="shared" si="8"/>
        <v>0</v>
      </c>
    </row>
    <row r="559" spans="1:6" x14ac:dyDescent="0.3">
      <c r="A559" t="s">
        <v>3</v>
      </c>
      <c r="B559" t="s">
        <v>10</v>
      </c>
      <c r="C559">
        <v>1</v>
      </c>
      <c r="D559">
        <v>4</v>
      </c>
      <c r="E559" s="24">
        <v>812608700</v>
      </c>
      <c r="F559">
        <f t="shared" si="8"/>
        <v>0</v>
      </c>
    </row>
    <row r="560" spans="1:6" x14ac:dyDescent="0.3">
      <c r="A560" t="s">
        <v>3</v>
      </c>
      <c r="B560" t="s">
        <v>10</v>
      </c>
      <c r="C560">
        <v>1</v>
      </c>
      <c r="D560">
        <v>4</v>
      </c>
      <c r="E560" s="24">
        <v>327981400</v>
      </c>
      <c r="F560">
        <f t="shared" si="8"/>
        <v>0</v>
      </c>
    </row>
    <row r="561" spans="1:6" x14ac:dyDescent="0.3">
      <c r="A561" t="s">
        <v>3</v>
      </c>
      <c r="B561" t="s">
        <v>10</v>
      </c>
      <c r="C561">
        <v>1</v>
      </c>
      <c r="D561">
        <v>4</v>
      </c>
      <c r="E561" s="24">
        <v>592305800</v>
      </c>
      <c r="F561">
        <f t="shared" si="8"/>
        <v>0</v>
      </c>
    </row>
    <row r="562" spans="1:6" x14ac:dyDescent="0.3">
      <c r="A562" t="s">
        <v>3</v>
      </c>
      <c r="B562" t="s">
        <v>10</v>
      </c>
      <c r="C562">
        <v>1</v>
      </c>
      <c r="D562">
        <v>4</v>
      </c>
      <c r="E562" s="24">
        <v>882102400</v>
      </c>
      <c r="F562">
        <f t="shared" si="8"/>
        <v>0</v>
      </c>
    </row>
    <row r="563" spans="1:6" x14ac:dyDescent="0.3">
      <c r="A563" t="s">
        <v>3</v>
      </c>
      <c r="B563" t="s">
        <v>10</v>
      </c>
      <c r="C563">
        <v>1</v>
      </c>
      <c r="D563">
        <v>4</v>
      </c>
      <c r="E563" s="24">
        <v>784671900</v>
      </c>
      <c r="F563">
        <f t="shared" si="8"/>
        <v>0</v>
      </c>
    </row>
    <row r="564" spans="1:6" x14ac:dyDescent="0.3">
      <c r="A564" t="s">
        <v>3</v>
      </c>
      <c r="B564" t="s">
        <v>10</v>
      </c>
      <c r="C564">
        <v>1</v>
      </c>
      <c r="D564">
        <v>4</v>
      </c>
      <c r="E564" s="24">
        <v>992289900</v>
      </c>
      <c r="F564">
        <f t="shared" si="8"/>
        <v>0</v>
      </c>
    </row>
    <row r="565" spans="1:6" x14ac:dyDescent="0.3">
      <c r="A565" t="s">
        <v>5</v>
      </c>
      <c r="B565" t="s">
        <v>4</v>
      </c>
      <c r="C565">
        <v>1</v>
      </c>
      <c r="D565">
        <v>4</v>
      </c>
      <c r="E565" s="24">
        <v>218366258800</v>
      </c>
      <c r="F565">
        <f t="shared" si="8"/>
        <v>3.6</v>
      </c>
    </row>
    <row r="566" spans="1:6" x14ac:dyDescent="0.3">
      <c r="A566" t="s">
        <v>5</v>
      </c>
      <c r="B566" t="s">
        <v>4</v>
      </c>
      <c r="C566">
        <v>1</v>
      </c>
      <c r="D566">
        <v>4</v>
      </c>
      <c r="E566" s="24">
        <v>170132369500</v>
      </c>
      <c r="F566">
        <f t="shared" si="8"/>
        <v>2.8</v>
      </c>
    </row>
    <row r="567" spans="1:6" x14ac:dyDescent="0.3">
      <c r="A567" t="s">
        <v>5</v>
      </c>
      <c r="B567" t="s">
        <v>4</v>
      </c>
      <c r="C567">
        <v>1</v>
      </c>
      <c r="D567">
        <v>4</v>
      </c>
      <c r="E567" s="24">
        <v>196381812300</v>
      </c>
      <c r="F567">
        <f t="shared" si="8"/>
        <v>3.3</v>
      </c>
    </row>
    <row r="568" spans="1:6" x14ac:dyDescent="0.3">
      <c r="A568" t="s">
        <v>5</v>
      </c>
      <c r="B568" t="s">
        <v>4</v>
      </c>
      <c r="C568">
        <v>1</v>
      </c>
      <c r="D568">
        <v>4</v>
      </c>
      <c r="E568" s="24">
        <v>207346187600</v>
      </c>
      <c r="F568">
        <f t="shared" si="8"/>
        <v>3.5</v>
      </c>
    </row>
    <row r="569" spans="1:6" x14ac:dyDescent="0.3">
      <c r="A569" t="s">
        <v>5</v>
      </c>
      <c r="B569" t="s">
        <v>4</v>
      </c>
      <c r="C569">
        <v>1</v>
      </c>
      <c r="D569">
        <v>4</v>
      </c>
      <c r="E569" s="24">
        <v>216093850000</v>
      </c>
      <c r="F569">
        <f t="shared" si="8"/>
        <v>3.6</v>
      </c>
    </row>
    <row r="570" spans="1:6" x14ac:dyDescent="0.3">
      <c r="A570" t="s">
        <v>5</v>
      </c>
      <c r="B570" t="s">
        <v>4</v>
      </c>
      <c r="C570">
        <v>1</v>
      </c>
      <c r="D570">
        <v>4</v>
      </c>
      <c r="E570" s="24">
        <v>216261089100</v>
      </c>
      <c r="F570">
        <f t="shared" si="8"/>
        <v>3.6</v>
      </c>
    </row>
    <row r="571" spans="1:6" x14ac:dyDescent="0.3">
      <c r="A571" t="s">
        <v>5</v>
      </c>
      <c r="B571" t="s">
        <v>4</v>
      </c>
      <c r="C571">
        <v>1</v>
      </c>
      <c r="D571">
        <v>4</v>
      </c>
      <c r="E571" s="24">
        <v>280090761200</v>
      </c>
      <c r="F571">
        <f t="shared" si="8"/>
        <v>4.7</v>
      </c>
    </row>
    <row r="572" spans="1:6" x14ac:dyDescent="0.3">
      <c r="A572" t="s">
        <v>5</v>
      </c>
      <c r="B572" t="s">
        <v>4</v>
      </c>
      <c r="C572">
        <v>1</v>
      </c>
      <c r="D572">
        <v>4</v>
      </c>
      <c r="E572" s="24">
        <v>253354820300</v>
      </c>
      <c r="F572">
        <f t="shared" si="8"/>
        <v>4.2</v>
      </c>
    </row>
    <row r="573" spans="1:6" x14ac:dyDescent="0.3">
      <c r="A573" t="s">
        <v>5</v>
      </c>
      <c r="B573" t="s">
        <v>4</v>
      </c>
      <c r="C573">
        <v>0</v>
      </c>
      <c r="D573">
        <v>4</v>
      </c>
      <c r="E573" s="24">
        <v>590198493500</v>
      </c>
      <c r="F573">
        <f t="shared" si="8"/>
        <v>9.8000000000000007</v>
      </c>
    </row>
    <row r="574" spans="1:6" x14ac:dyDescent="0.3">
      <c r="A574" t="s">
        <v>5</v>
      </c>
      <c r="B574" t="s">
        <v>4</v>
      </c>
      <c r="C574">
        <v>1</v>
      </c>
      <c r="D574">
        <v>4</v>
      </c>
      <c r="E574" s="24">
        <v>893631990400</v>
      </c>
      <c r="F574">
        <f t="shared" si="8"/>
        <v>14.9</v>
      </c>
    </row>
    <row r="575" spans="1:6" x14ac:dyDescent="0.3">
      <c r="A575" t="s">
        <v>5</v>
      </c>
      <c r="B575" t="s">
        <v>4</v>
      </c>
      <c r="C575">
        <v>0</v>
      </c>
      <c r="D575">
        <v>4</v>
      </c>
      <c r="E575" s="24">
        <v>896870290700</v>
      </c>
      <c r="F575">
        <f t="shared" si="8"/>
        <v>14.9</v>
      </c>
    </row>
    <row r="576" spans="1:6" x14ac:dyDescent="0.3">
      <c r="A576" t="s">
        <v>5</v>
      </c>
      <c r="B576" t="s">
        <v>4</v>
      </c>
      <c r="C576">
        <v>0</v>
      </c>
      <c r="D576">
        <v>4</v>
      </c>
      <c r="E576" s="24">
        <v>988637347100</v>
      </c>
      <c r="F576">
        <f t="shared" si="8"/>
        <v>16.5</v>
      </c>
    </row>
    <row r="577" spans="1:6" x14ac:dyDescent="0.3">
      <c r="A577" t="s">
        <v>5</v>
      </c>
      <c r="B577" t="s">
        <v>3</v>
      </c>
      <c r="C577">
        <v>0</v>
      </c>
      <c r="D577">
        <v>4</v>
      </c>
      <c r="E577" s="24">
        <v>578428653600</v>
      </c>
      <c r="F577">
        <f t="shared" si="8"/>
        <v>9.6</v>
      </c>
    </row>
    <row r="578" spans="1:6" x14ac:dyDescent="0.3">
      <c r="A578" t="s">
        <v>5</v>
      </c>
      <c r="B578" t="s">
        <v>3</v>
      </c>
      <c r="C578">
        <v>0</v>
      </c>
      <c r="D578">
        <v>4</v>
      </c>
      <c r="E578" s="24">
        <v>448076253500</v>
      </c>
      <c r="F578">
        <f t="shared" ref="F578:F641" si="9">ROUND(E578/60000000000, 1)</f>
        <v>7.5</v>
      </c>
    </row>
    <row r="579" spans="1:6" x14ac:dyDescent="0.3">
      <c r="A579" t="s">
        <v>5</v>
      </c>
      <c r="B579" t="s">
        <v>3</v>
      </c>
      <c r="C579">
        <v>0</v>
      </c>
      <c r="D579">
        <v>4</v>
      </c>
      <c r="E579" s="24">
        <v>518118455600</v>
      </c>
      <c r="F579">
        <f t="shared" si="9"/>
        <v>8.6</v>
      </c>
    </row>
    <row r="580" spans="1:6" x14ac:dyDescent="0.3">
      <c r="A580" t="s">
        <v>5</v>
      </c>
      <c r="B580" t="s">
        <v>3</v>
      </c>
      <c r="C580">
        <v>0</v>
      </c>
      <c r="D580">
        <v>4</v>
      </c>
      <c r="E580" s="24">
        <v>563019876400</v>
      </c>
      <c r="F580">
        <f t="shared" si="9"/>
        <v>9.4</v>
      </c>
    </row>
    <row r="581" spans="1:6" x14ac:dyDescent="0.3">
      <c r="A581" t="s">
        <v>5</v>
      </c>
      <c r="B581" t="s">
        <v>3</v>
      </c>
      <c r="C581">
        <v>0</v>
      </c>
      <c r="D581">
        <v>4</v>
      </c>
      <c r="E581" s="24">
        <v>563620218600</v>
      </c>
      <c r="F581">
        <f t="shared" si="9"/>
        <v>9.4</v>
      </c>
    </row>
    <row r="582" spans="1:6" x14ac:dyDescent="0.3">
      <c r="A582" t="s">
        <v>5</v>
      </c>
      <c r="B582" t="s">
        <v>3</v>
      </c>
      <c r="C582">
        <v>0</v>
      </c>
      <c r="D582">
        <v>4</v>
      </c>
      <c r="E582" s="24">
        <v>592079512300</v>
      </c>
      <c r="F582">
        <f t="shared" si="9"/>
        <v>9.9</v>
      </c>
    </row>
    <row r="583" spans="1:6" x14ac:dyDescent="0.3">
      <c r="A583" t="s">
        <v>5</v>
      </c>
      <c r="B583" t="s">
        <v>3</v>
      </c>
      <c r="C583">
        <v>0</v>
      </c>
      <c r="D583">
        <v>4</v>
      </c>
      <c r="E583" s="24">
        <v>586385101000</v>
      </c>
      <c r="F583">
        <f t="shared" si="9"/>
        <v>9.8000000000000007</v>
      </c>
    </row>
    <row r="584" spans="1:6" x14ac:dyDescent="0.3">
      <c r="A584" t="s">
        <v>5</v>
      </c>
      <c r="B584" t="s">
        <v>3</v>
      </c>
      <c r="C584">
        <v>0</v>
      </c>
      <c r="D584">
        <v>4</v>
      </c>
      <c r="E584" s="24">
        <v>539986541100</v>
      </c>
      <c r="F584">
        <f t="shared" si="9"/>
        <v>9</v>
      </c>
    </row>
    <row r="585" spans="1:6" x14ac:dyDescent="0.3">
      <c r="A585" t="s">
        <v>5</v>
      </c>
      <c r="B585" t="s">
        <v>3</v>
      </c>
      <c r="C585">
        <v>0</v>
      </c>
      <c r="D585">
        <v>4</v>
      </c>
      <c r="E585" s="24">
        <v>581382703800</v>
      </c>
      <c r="F585">
        <f t="shared" si="9"/>
        <v>9.6999999999999993</v>
      </c>
    </row>
    <row r="586" spans="1:6" x14ac:dyDescent="0.3">
      <c r="A586" t="s">
        <v>5</v>
      </c>
      <c r="B586" t="s">
        <v>3</v>
      </c>
      <c r="C586">
        <v>0</v>
      </c>
      <c r="D586">
        <v>4</v>
      </c>
      <c r="E586" s="24">
        <v>193099924800</v>
      </c>
      <c r="F586">
        <f t="shared" si="9"/>
        <v>3.2</v>
      </c>
    </row>
    <row r="587" spans="1:6" x14ac:dyDescent="0.3">
      <c r="A587" t="s">
        <v>5</v>
      </c>
      <c r="B587" t="s">
        <v>3</v>
      </c>
      <c r="C587">
        <v>0</v>
      </c>
      <c r="D587">
        <v>4</v>
      </c>
      <c r="E587" s="24">
        <v>163975341700</v>
      </c>
      <c r="F587">
        <f t="shared" si="9"/>
        <v>2.7</v>
      </c>
    </row>
    <row r="588" spans="1:6" x14ac:dyDescent="0.3">
      <c r="A588" t="s">
        <v>5</v>
      </c>
      <c r="B588" t="s">
        <v>3</v>
      </c>
      <c r="C588">
        <v>0</v>
      </c>
      <c r="D588">
        <v>4</v>
      </c>
      <c r="E588" s="24">
        <v>182052220900</v>
      </c>
      <c r="F588">
        <f t="shared" si="9"/>
        <v>3</v>
      </c>
    </row>
    <row r="589" spans="1:6" x14ac:dyDescent="0.3">
      <c r="A589" t="s">
        <v>5</v>
      </c>
      <c r="B589" t="s">
        <v>3</v>
      </c>
      <c r="C589">
        <v>0</v>
      </c>
      <c r="D589">
        <v>4</v>
      </c>
      <c r="E589" s="24">
        <v>174724358400</v>
      </c>
      <c r="F589">
        <f t="shared" si="9"/>
        <v>2.9</v>
      </c>
    </row>
    <row r="590" spans="1:6" x14ac:dyDescent="0.3">
      <c r="A590" t="s">
        <v>5</v>
      </c>
      <c r="B590" t="s">
        <v>3</v>
      </c>
      <c r="C590">
        <v>0</v>
      </c>
      <c r="D590">
        <v>4</v>
      </c>
      <c r="E590" s="24">
        <v>182862821400</v>
      </c>
      <c r="F590">
        <f t="shared" si="9"/>
        <v>3</v>
      </c>
    </row>
    <row r="591" spans="1:6" x14ac:dyDescent="0.3">
      <c r="A591" t="s">
        <v>5</v>
      </c>
      <c r="B591" t="s">
        <v>3</v>
      </c>
      <c r="C591">
        <v>0</v>
      </c>
      <c r="D591">
        <v>4</v>
      </c>
      <c r="E591" s="24">
        <v>199913149700</v>
      </c>
      <c r="F591">
        <f t="shared" si="9"/>
        <v>3.3</v>
      </c>
    </row>
    <row r="592" spans="1:6" x14ac:dyDescent="0.3">
      <c r="A592" t="s">
        <v>5</v>
      </c>
      <c r="B592" t="s">
        <v>3</v>
      </c>
      <c r="C592">
        <v>0</v>
      </c>
      <c r="D592">
        <v>4</v>
      </c>
      <c r="E592" s="24">
        <v>205467151800</v>
      </c>
      <c r="F592">
        <f t="shared" si="9"/>
        <v>3.4</v>
      </c>
    </row>
    <row r="593" spans="1:6" x14ac:dyDescent="0.3">
      <c r="A593" t="s">
        <v>5</v>
      </c>
      <c r="B593" t="s">
        <v>3</v>
      </c>
      <c r="C593">
        <v>0</v>
      </c>
      <c r="D593">
        <v>4</v>
      </c>
      <c r="E593" s="24">
        <v>195783449600</v>
      </c>
      <c r="F593">
        <f t="shared" si="9"/>
        <v>3.3</v>
      </c>
    </row>
    <row r="594" spans="1:6" x14ac:dyDescent="0.3">
      <c r="A594" t="s">
        <v>5</v>
      </c>
      <c r="B594" t="s">
        <v>3</v>
      </c>
      <c r="C594">
        <v>0</v>
      </c>
      <c r="D594">
        <v>4</v>
      </c>
      <c r="E594" s="24">
        <v>193492829800</v>
      </c>
      <c r="F594">
        <f t="shared" si="9"/>
        <v>3.2</v>
      </c>
    </row>
    <row r="595" spans="1:6" x14ac:dyDescent="0.3">
      <c r="A595" t="s">
        <v>5</v>
      </c>
      <c r="B595" t="s">
        <v>3</v>
      </c>
      <c r="C595">
        <v>0</v>
      </c>
      <c r="D595">
        <v>4</v>
      </c>
      <c r="E595" s="24">
        <v>647300259600</v>
      </c>
      <c r="F595">
        <f t="shared" si="9"/>
        <v>10.8</v>
      </c>
    </row>
    <row r="596" spans="1:6" x14ac:dyDescent="0.3">
      <c r="A596" t="s">
        <v>5</v>
      </c>
      <c r="B596" t="s">
        <v>3</v>
      </c>
      <c r="C596">
        <v>0</v>
      </c>
      <c r="D596">
        <v>4</v>
      </c>
      <c r="E596" s="24">
        <v>428934114200</v>
      </c>
      <c r="F596">
        <f t="shared" si="9"/>
        <v>7.1</v>
      </c>
    </row>
    <row r="597" spans="1:6" x14ac:dyDescent="0.3">
      <c r="A597" t="s">
        <v>5</v>
      </c>
      <c r="B597" t="s">
        <v>3</v>
      </c>
      <c r="C597">
        <v>0</v>
      </c>
      <c r="D597">
        <v>4</v>
      </c>
      <c r="E597" s="24">
        <v>500269441400</v>
      </c>
      <c r="F597">
        <f t="shared" si="9"/>
        <v>8.3000000000000007</v>
      </c>
    </row>
    <row r="598" spans="1:6" x14ac:dyDescent="0.3">
      <c r="A598" t="s">
        <v>5</v>
      </c>
      <c r="B598" t="s">
        <v>3</v>
      </c>
      <c r="C598">
        <v>0</v>
      </c>
      <c r="D598">
        <v>4</v>
      </c>
      <c r="E598" s="24">
        <v>329003416900</v>
      </c>
      <c r="F598">
        <f t="shared" si="9"/>
        <v>5.5</v>
      </c>
    </row>
    <row r="599" spans="1:6" x14ac:dyDescent="0.3">
      <c r="A599" t="s">
        <v>5</v>
      </c>
      <c r="B599" t="s">
        <v>3</v>
      </c>
      <c r="C599">
        <v>0</v>
      </c>
      <c r="D599">
        <v>4</v>
      </c>
      <c r="E599" s="24">
        <v>668577173700</v>
      </c>
      <c r="F599">
        <f t="shared" si="9"/>
        <v>11.1</v>
      </c>
    </row>
    <row r="600" spans="1:6" x14ac:dyDescent="0.3">
      <c r="A600" t="s">
        <v>5</v>
      </c>
      <c r="B600" t="s">
        <v>3</v>
      </c>
      <c r="C600">
        <v>0</v>
      </c>
      <c r="D600">
        <v>4</v>
      </c>
      <c r="E600" s="24">
        <v>630338060700</v>
      </c>
      <c r="F600">
        <f t="shared" si="9"/>
        <v>10.5</v>
      </c>
    </row>
    <row r="601" spans="1:6" x14ac:dyDescent="0.3">
      <c r="A601" t="s">
        <v>5</v>
      </c>
      <c r="B601" t="s">
        <v>3</v>
      </c>
      <c r="C601">
        <v>0</v>
      </c>
      <c r="D601">
        <v>4</v>
      </c>
      <c r="E601" s="24">
        <v>727406782600</v>
      </c>
      <c r="F601">
        <f t="shared" si="9"/>
        <v>12.1</v>
      </c>
    </row>
    <row r="602" spans="1:6" x14ac:dyDescent="0.3">
      <c r="A602" t="s">
        <v>5</v>
      </c>
      <c r="B602" t="s">
        <v>1</v>
      </c>
      <c r="C602">
        <v>0</v>
      </c>
      <c r="D602">
        <v>4</v>
      </c>
      <c r="E602" s="24">
        <v>539665224900</v>
      </c>
      <c r="F602">
        <f t="shared" si="9"/>
        <v>9</v>
      </c>
    </row>
    <row r="603" spans="1:6" x14ac:dyDescent="0.3">
      <c r="A603" t="s">
        <v>5</v>
      </c>
      <c r="B603" t="s">
        <v>1</v>
      </c>
      <c r="C603">
        <v>0</v>
      </c>
      <c r="D603">
        <v>4</v>
      </c>
      <c r="E603" s="24">
        <v>460975460400</v>
      </c>
      <c r="F603">
        <f t="shared" si="9"/>
        <v>7.7</v>
      </c>
    </row>
    <row r="604" spans="1:6" x14ac:dyDescent="0.3">
      <c r="A604" t="s">
        <v>5</v>
      </c>
      <c r="B604" t="s">
        <v>1</v>
      </c>
      <c r="C604">
        <v>0</v>
      </c>
      <c r="D604">
        <v>4</v>
      </c>
      <c r="E604" s="24">
        <v>617814482600</v>
      </c>
      <c r="F604">
        <f t="shared" si="9"/>
        <v>10.3</v>
      </c>
    </row>
    <row r="605" spans="1:6" x14ac:dyDescent="0.3">
      <c r="A605" t="s">
        <v>5</v>
      </c>
      <c r="B605" t="s">
        <v>1</v>
      </c>
      <c r="C605">
        <v>0</v>
      </c>
      <c r="D605">
        <v>4</v>
      </c>
      <c r="E605" s="24">
        <v>462059154200</v>
      </c>
      <c r="F605">
        <f t="shared" si="9"/>
        <v>7.7</v>
      </c>
    </row>
    <row r="606" spans="1:6" x14ac:dyDescent="0.3">
      <c r="A606" t="s">
        <v>5</v>
      </c>
      <c r="B606" t="s">
        <v>1</v>
      </c>
      <c r="C606">
        <v>0</v>
      </c>
      <c r="D606">
        <v>4</v>
      </c>
      <c r="E606" s="24">
        <v>543478202400</v>
      </c>
      <c r="F606">
        <f t="shared" si="9"/>
        <v>9.1</v>
      </c>
    </row>
    <row r="607" spans="1:6" x14ac:dyDescent="0.3">
      <c r="A607" t="s">
        <v>5</v>
      </c>
      <c r="B607" t="s">
        <v>1</v>
      </c>
      <c r="C607">
        <v>0</v>
      </c>
      <c r="D607">
        <v>4</v>
      </c>
      <c r="E607" s="24">
        <v>614790211000</v>
      </c>
      <c r="F607">
        <f t="shared" si="9"/>
        <v>10.199999999999999</v>
      </c>
    </row>
    <row r="608" spans="1:6" x14ac:dyDescent="0.3">
      <c r="A608" t="s">
        <v>5</v>
      </c>
      <c r="B608" t="s">
        <v>1</v>
      </c>
      <c r="C608">
        <v>0</v>
      </c>
      <c r="D608">
        <v>4</v>
      </c>
      <c r="E608" s="24">
        <v>436005541600</v>
      </c>
      <c r="F608">
        <f t="shared" si="9"/>
        <v>7.3</v>
      </c>
    </row>
    <row r="609" spans="1:6" x14ac:dyDescent="0.3">
      <c r="A609" t="s">
        <v>5</v>
      </c>
      <c r="B609" t="s">
        <v>1</v>
      </c>
      <c r="C609">
        <v>0</v>
      </c>
      <c r="D609">
        <v>4</v>
      </c>
      <c r="E609" s="24">
        <v>585986488800</v>
      </c>
      <c r="F609">
        <f t="shared" si="9"/>
        <v>9.8000000000000007</v>
      </c>
    </row>
    <row r="610" spans="1:6" x14ac:dyDescent="0.3">
      <c r="A610" t="s">
        <v>5</v>
      </c>
      <c r="B610" t="s">
        <v>1</v>
      </c>
      <c r="C610">
        <v>0</v>
      </c>
      <c r="D610">
        <v>4</v>
      </c>
      <c r="E610" s="24">
        <v>180763019900</v>
      </c>
      <c r="F610">
        <f t="shared" si="9"/>
        <v>3</v>
      </c>
    </row>
    <row r="611" spans="1:6" x14ac:dyDescent="0.3">
      <c r="A611" t="s">
        <v>5</v>
      </c>
      <c r="B611" t="s">
        <v>1</v>
      </c>
      <c r="C611">
        <v>0</v>
      </c>
      <c r="D611">
        <v>4</v>
      </c>
      <c r="E611" s="24">
        <v>135818307000</v>
      </c>
      <c r="F611">
        <f t="shared" si="9"/>
        <v>2.2999999999999998</v>
      </c>
    </row>
    <row r="612" spans="1:6" x14ac:dyDescent="0.3">
      <c r="A612" t="s">
        <v>5</v>
      </c>
      <c r="B612" t="s">
        <v>1</v>
      </c>
      <c r="C612">
        <v>0</v>
      </c>
      <c r="D612">
        <v>4</v>
      </c>
      <c r="E612" s="24">
        <v>154398496600</v>
      </c>
      <c r="F612">
        <f t="shared" si="9"/>
        <v>2.6</v>
      </c>
    </row>
    <row r="613" spans="1:6" x14ac:dyDescent="0.3">
      <c r="A613" t="s">
        <v>5</v>
      </c>
      <c r="B613" t="s">
        <v>1</v>
      </c>
      <c r="C613">
        <v>0</v>
      </c>
      <c r="D613">
        <v>4</v>
      </c>
      <c r="E613" s="24">
        <v>159287288400</v>
      </c>
      <c r="F613">
        <f t="shared" si="9"/>
        <v>2.7</v>
      </c>
    </row>
    <row r="614" spans="1:6" x14ac:dyDescent="0.3">
      <c r="A614" t="s">
        <v>5</v>
      </c>
      <c r="B614" t="s">
        <v>1</v>
      </c>
      <c r="C614">
        <v>0</v>
      </c>
      <c r="D614">
        <v>4</v>
      </c>
      <c r="E614" s="24">
        <v>171071394100</v>
      </c>
      <c r="F614">
        <f t="shared" si="9"/>
        <v>2.9</v>
      </c>
    </row>
    <row r="615" spans="1:6" x14ac:dyDescent="0.3">
      <c r="A615" t="s">
        <v>5</v>
      </c>
      <c r="B615" t="s">
        <v>1</v>
      </c>
      <c r="C615">
        <v>0</v>
      </c>
      <c r="D615">
        <v>4</v>
      </c>
      <c r="E615" s="24">
        <v>207156913600</v>
      </c>
      <c r="F615">
        <f t="shared" si="9"/>
        <v>3.5</v>
      </c>
    </row>
    <row r="616" spans="1:6" x14ac:dyDescent="0.3">
      <c r="A616" t="s">
        <v>5</v>
      </c>
      <c r="B616" t="s">
        <v>1</v>
      </c>
      <c r="C616">
        <v>0</v>
      </c>
      <c r="D616">
        <v>4</v>
      </c>
      <c r="E616" s="24">
        <v>144814163500</v>
      </c>
      <c r="F616">
        <f t="shared" si="9"/>
        <v>2.4</v>
      </c>
    </row>
    <row r="617" spans="1:6" x14ac:dyDescent="0.3">
      <c r="A617" t="s">
        <v>5</v>
      </c>
      <c r="B617" t="s">
        <v>1</v>
      </c>
      <c r="C617">
        <v>0</v>
      </c>
      <c r="D617">
        <v>4</v>
      </c>
      <c r="E617" s="24">
        <v>175441043500</v>
      </c>
      <c r="F617">
        <f t="shared" si="9"/>
        <v>2.9</v>
      </c>
    </row>
    <row r="618" spans="1:6" x14ac:dyDescent="0.3">
      <c r="A618" t="s">
        <v>5</v>
      </c>
      <c r="B618" t="s">
        <v>1</v>
      </c>
      <c r="C618">
        <v>0</v>
      </c>
      <c r="D618">
        <v>4</v>
      </c>
      <c r="E618" s="24">
        <v>336878877000</v>
      </c>
      <c r="F618">
        <f t="shared" si="9"/>
        <v>5.6</v>
      </c>
    </row>
    <row r="619" spans="1:6" x14ac:dyDescent="0.3">
      <c r="A619" t="s">
        <v>5</v>
      </c>
      <c r="B619" t="s">
        <v>1</v>
      </c>
      <c r="C619">
        <v>0</v>
      </c>
      <c r="D619">
        <v>4</v>
      </c>
      <c r="E619" s="24">
        <v>551827716300</v>
      </c>
      <c r="F619">
        <f t="shared" si="9"/>
        <v>9.1999999999999993</v>
      </c>
    </row>
    <row r="620" spans="1:6" x14ac:dyDescent="0.3">
      <c r="A620" t="s">
        <v>5</v>
      </c>
      <c r="B620" t="s">
        <v>1</v>
      </c>
      <c r="C620">
        <v>0</v>
      </c>
      <c r="D620">
        <v>4</v>
      </c>
      <c r="E620" s="24">
        <v>537959634700</v>
      </c>
      <c r="F620">
        <f t="shared" si="9"/>
        <v>9</v>
      </c>
    </row>
    <row r="621" spans="1:6" x14ac:dyDescent="0.3">
      <c r="A621" t="s">
        <v>5</v>
      </c>
      <c r="B621" t="s">
        <v>1</v>
      </c>
      <c r="C621">
        <v>0</v>
      </c>
      <c r="D621">
        <v>4</v>
      </c>
      <c r="E621" s="24">
        <v>574836285100</v>
      </c>
      <c r="F621">
        <f t="shared" si="9"/>
        <v>9.6</v>
      </c>
    </row>
    <row r="622" spans="1:6" x14ac:dyDescent="0.3">
      <c r="A622" t="s">
        <v>5</v>
      </c>
      <c r="B622" t="s">
        <v>1</v>
      </c>
      <c r="C622">
        <v>0</v>
      </c>
      <c r="D622">
        <v>4</v>
      </c>
      <c r="E622" s="24">
        <v>449618027300</v>
      </c>
      <c r="F622">
        <f t="shared" si="9"/>
        <v>7.5</v>
      </c>
    </row>
    <row r="623" spans="1:6" x14ac:dyDescent="0.3">
      <c r="A623" t="s">
        <v>5</v>
      </c>
      <c r="B623" t="s">
        <v>1</v>
      </c>
      <c r="C623">
        <v>0</v>
      </c>
      <c r="D623">
        <v>4</v>
      </c>
      <c r="E623" s="24">
        <v>448871899900</v>
      </c>
      <c r="F623">
        <f t="shared" si="9"/>
        <v>7.5</v>
      </c>
    </row>
    <row r="624" spans="1:6" x14ac:dyDescent="0.3">
      <c r="A624" t="s">
        <v>5</v>
      </c>
      <c r="B624" t="s">
        <v>1</v>
      </c>
      <c r="C624">
        <v>0</v>
      </c>
      <c r="D624">
        <v>4</v>
      </c>
      <c r="E624" s="24">
        <v>678399394700</v>
      </c>
      <c r="F624">
        <f t="shared" si="9"/>
        <v>11.3</v>
      </c>
    </row>
    <row r="625" spans="1:6" x14ac:dyDescent="0.3">
      <c r="A625" t="s">
        <v>5</v>
      </c>
      <c r="B625" t="s">
        <v>1</v>
      </c>
      <c r="C625">
        <v>0</v>
      </c>
      <c r="D625">
        <v>4</v>
      </c>
      <c r="E625" s="24">
        <v>683091412000</v>
      </c>
      <c r="F625">
        <f t="shared" si="9"/>
        <v>11.4</v>
      </c>
    </row>
    <row r="626" spans="1:6" x14ac:dyDescent="0.3">
      <c r="A626" t="s">
        <v>5</v>
      </c>
      <c r="B626" t="s">
        <v>1</v>
      </c>
      <c r="C626">
        <v>0</v>
      </c>
      <c r="D626">
        <v>4</v>
      </c>
      <c r="E626" s="24">
        <v>683347627100</v>
      </c>
      <c r="F626">
        <f t="shared" si="9"/>
        <v>11.4</v>
      </c>
    </row>
    <row r="627" spans="1:6" x14ac:dyDescent="0.3">
      <c r="A627" t="s">
        <v>5</v>
      </c>
      <c r="B627" t="s">
        <v>2</v>
      </c>
      <c r="C627">
        <v>1</v>
      </c>
      <c r="D627">
        <v>4</v>
      </c>
      <c r="E627" s="24">
        <v>148410404200</v>
      </c>
      <c r="F627">
        <f t="shared" si="9"/>
        <v>2.5</v>
      </c>
    </row>
    <row r="628" spans="1:6" x14ac:dyDescent="0.3">
      <c r="A628" t="s">
        <v>5</v>
      </c>
      <c r="B628" t="s">
        <v>2</v>
      </c>
      <c r="C628">
        <v>1</v>
      </c>
      <c r="D628">
        <v>4</v>
      </c>
      <c r="E628" s="24">
        <v>128699408800</v>
      </c>
      <c r="F628">
        <f t="shared" si="9"/>
        <v>2.1</v>
      </c>
    </row>
    <row r="629" spans="1:6" x14ac:dyDescent="0.3">
      <c r="A629" t="s">
        <v>5</v>
      </c>
      <c r="B629" t="s">
        <v>2</v>
      </c>
      <c r="C629">
        <v>1</v>
      </c>
      <c r="D629">
        <v>4</v>
      </c>
      <c r="E629" s="24">
        <v>113273333200</v>
      </c>
      <c r="F629">
        <f t="shared" si="9"/>
        <v>1.9</v>
      </c>
    </row>
    <row r="630" spans="1:6" x14ac:dyDescent="0.3">
      <c r="A630" t="s">
        <v>5</v>
      </c>
      <c r="B630" t="s">
        <v>2</v>
      </c>
      <c r="C630">
        <v>1</v>
      </c>
      <c r="D630">
        <v>4</v>
      </c>
      <c r="E630" s="24">
        <v>155634539400</v>
      </c>
      <c r="F630">
        <f t="shared" si="9"/>
        <v>2.6</v>
      </c>
    </row>
    <row r="631" spans="1:6" x14ac:dyDescent="0.3">
      <c r="A631" t="s">
        <v>5</v>
      </c>
      <c r="B631" t="s">
        <v>2</v>
      </c>
      <c r="C631">
        <v>1</v>
      </c>
      <c r="D631">
        <v>4</v>
      </c>
      <c r="E631" s="24">
        <v>126826872400</v>
      </c>
      <c r="F631">
        <f t="shared" si="9"/>
        <v>2.1</v>
      </c>
    </row>
    <row r="632" spans="1:6" x14ac:dyDescent="0.3">
      <c r="A632" t="s">
        <v>5</v>
      </c>
      <c r="B632" t="s">
        <v>2</v>
      </c>
      <c r="C632">
        <v>1</v>
      </c>
      <c r="D632">
        <v>4</v>
      </c>
      <c r="E632" s="24">
        <v>135430584500</v>
      </c>
      <c r="F632">
        <f t="shared" si="9"/>
        <v>2.2999999999999998</v>
      </c>
    </row>
    <row r="633" spans="1:6" x14ac:dyDescent="0.3">
      <c r="A633" t="s">
        <v>5</v>
      </c>
      <c r="B633" t="s">
        <v>2</v>
      </c>
      <c r="C633">
        <v>1</v>
      </c>
      <c r="D633">
        <v>4</v>
      </c>
      <c r="E633" s="24">
        <v>342850450600</v>
      </c>
      <c r="F633">
        <f t="shared" si="9"/>
        <v>5.7</v>
      </c>
    </row>
    <row r="634" spans="1:6" x14ac:dyDescent="0.3">
      <c r="A634" t="s">
        <v>5</v>
      </c>
      <c r="B634" t="s">
        <v>2</v>
      </c>
      <c r="C634">
        <v>1</v>
      </c>
      <c r="D634">
        <v>4</v>
      </c>
      <c r="E634" s="24">
        <v>183618153000</v>
      </c>
      <c r="F634">
        <f t="shared" si="9"/>
        <v>3.1</v>
      </c>
    </row>
    <row r="635" spans="1:6" x14ac:dyDescent="0.3">
      <c r="A635" t="s">
        <v>5</v>
      </c>
      <c r="B635" t="s">
        <v>2</v>
      </c>
      <c r="C635">
        <v>1</v>
      </c>
      <c r="D635">
        <v>4</v>
      </c>
      <c r="E635" s="24">
        <v>177565192900</v>
      </c>
      <c r="F635">
        <f t="shared" si="9"/>
        <v>3</v>
      </c>
    </row>
    <row r="636" spans="1:6" x14ac:dyDescent="0.3">
      <c r="A636" t="s">
        <v>5</v>
      </c>
      <c r="B636" t="s">
        <v>2</v>
      </c>
      <c r="C636">
        <v>1</v>
      </c>
      <c r="D636">
        <v>4</v>
      </c>
      <c r="E636" s="24">
        <v>377092721400</v>
      </c>
      <c r="F636">
        <f t="shared" si="9"/>
        <v>6.3</v>
      </c>
    </row>
    <row r="637" spans="1:6" x14ac:dyDescent="0.3">
      <c r="A637" t="s">
        <v>5</v>
      </c>
      <c r="B637" t="s">
        <v>2</v>
      </c>
      <c r="C637">
        <v>1</v>
      </c>
      <c r="D637">
        <v>4</v>
      </c>
      <c r="E637" s="24">
        <v>439145103200</v>
      </c>
      <c r="F637">
        <f t="shared" si="9"/>
        <v>7.3</v>
      </c>
    </row>
    <row r="638" spans="1:6" x14ac:dyDescent="0.3">
      <c r="A638" t="s">
        <v>5</v>
      </c>
      <c r="B638" t="s">
        <v>2</v>
      </c>
      <c r="C638">
        <v>1</v>
      </c>
      <c r="D638">
        <v>4</v>
      </c>
      <c r="E638" s="24">
        <v>550455509500</v>
      </c>
      <c r="F638">
        <f t="shared" si="9"/>
        <v>9.1999999999999993</v>
      </c>
    </row>
    <row r="639" spans="1:6" x14ac:dyDescent="0.3">
      <c r="A639" t="s">
        <v>5</v>
      </c>
      <c r="B639" t="s">
        <v>2</v>
      </c>
      <c r="C639">
        <v>1</v>
      </c>
      <c r="D639">
        <v>4</v>
      </c>
      <c r="E639" s="24">
        <v>611231675000</v>
      </c>
      <c r="F639">
        <f t="shared" si="9"/>
        <v>10.199999999999999</v>
      </c>
    </row>
    <row r="640" spans="1:6" x14ac:dyDescent="0.3">
      <c r="A640" t="s">
        <v>5</v>
      </c>
      <c r="B640" t="s">
        <v>10</v>
      </c>
      <c r="C640">
        <v>0</v>
      </c>
      <c r="D640">
        <v>4</v>
      </c>
      <c r="E640" s="24">
        <v>556085054800</v>
      </c>
      <c r="F640">
        <f t="shared" si="9"/>
        <v>9.3000000000000007</v>
      </c>
    </row>
    <row r="641" spans="1:6" x14ac:dyDescent="0.3">
      <c r="A641" t="s">
        <v>5</v>
      </c>
      <c r="B641" t="s">
        <v>10</v>
      </c>
      <c r="C641">
        <v>1</v>
      </c>
      <c r="D641">
        <v>4</v>
      </c>
      <c r="E641" s="24">
        <v>367031625399</v>
      </c>
      <c r="F641">
        <f t="shared" si="9"/>
        <v>6.1</v>
      </c>
    </row>
    <row r="642" spans="1:6" x14ac:dyDescent="0.3">
      <c r="A642" t="s">
        <v>5</v>
      </c>
      <c r="B642" t="s">
        <v>10</v>
      </c>
      <c r="C642">
        <v>1</v>
      </c>
      <c r="D642">
        <v>4</v>
      </c>
      <c r="E642" s="24">
        <v>407859974501</v>
      </c>
      <c r="F642">
        <f t="shared" ref="F642:F705" si="10">ROUND(E642/60000000000, 1)</f>
        <v>6.8</v>
      </c>
    </row>
    <row r="643" spans="1:6" x14ac:dyDescent="0.3">
      <c r="A643" t="s">
        <v>5</v>
      </c>
      <c r="B643" t="s">
        <v>10</v>
      </c>
      <c r="C643">
        <v>1</v>
      </c>
      <c r="D643">
        <v>4</v>
      </c>
      <c r="E643" s="24">
        <v>459857413800</v>
      </c>
      <c r="F643">
        <f t="shared" si="10"/>
        <v>7.7</v>
      </c>
    </row>
    <row r="644" spans="1:6" x14ac:dyDescent="0.3">
      <c r="A644" t="s">
        <v>5</v>
      </c>
      <c r="B644" t="s">
        <v>10</v>
      </c>
      <c r="C644">
        <v>1</v>
      </c>
      <c r="D644">
        <v>4</v>
      </c>
      <c r="E644" s="24">
        <v>452522287100</v>
      </c>
      <c r="F644">
        <f t="shared" si="10"/>
        <v>7.5</v>
      </c>
    </row>
    <row r="645" spans="1:6" x14ac:dyDescent="0.3">
      <c r="A645" t="s">
        <v>5</v>
      </c>
      <c r="B645" t="s">
        <v>10</v>
      </c>
      <c r="C645">
        <v>1</v>
      </c>
      <c r="D645">
        <v>4</v>
      </c>
      <c r="E645" s="24">
        <v>651180560600</v>
      </c>
      <c r="F645">
        <f t="shared" si="10"/>
        <v>10.9</v>
      </c>
    </row>
    <row r="646" spans="1:6" x14ac:dyDescent="0.3">
      <c r="A646" t="s">
        <v>5</v>
      </c>
      <c r="B646" t="s">
        <v>10</v>
      </c>
      <c r="C646">
        <v>1</v>
      </c>
      <c r="D646">
        <v>4</v>
      </c>
      <c r="E646" s="24">
        <v>432535163400</v>
      </c>
      <c r="F646">
        <f t="shared" si="10"/>
        <v>7.2</v>
      </c>
    </row>
    <row r="647" spans="1:6" x14ac:dyDescent="0.3">
      <c r="A647" t="s">
        <v>5</v>
      </c>
      <c r="B647" t="s">
        <v>10</v>
      </c>
      <c r="C647">
        <v>1</v>
      </c>
      <c r="D647">
        <v>4</v>
      </c>
      <c r="E647" s="24">
        <v>438067394000</v>
      </c>
      <c r="F647">
        <f t="shared" si="10"/>
        <v>7.3</v>
      </c>
    </row>
    <row r="648" spans="1:6" x14ac:dyDescent="0.3">
      <c r="A648" t="s">
        <v>5</v>
      </c>
      <c r="B648" t="s">
        <v>10</v>
      </c>
      <c r="C648">
        <v>1</v>
      </c>
      <c r="D648">
        <v>4</v>
      </c>
      <c r="E648" s="24">
        <v>122672680300</v>
      </c>
      <c r="F648">
        <f t="shared" si="10"/>
        <v>2</v>
      </c>
    </row>
    <row r="649" spans="1:6" x14ac:dyDescent="0.3">
      <c r="A649" t="s">
        <v>5</v>
      </c>
      <c r="B649" t="s">
        <v>10</v>
      </c>
      <c r="C649">
        <v>1</v>
      </c>
      <c r="D649">
        <v>4</v>
      </c>
      <c r="E649" s="24">
        <v>118371956300</v>
      </c>
      <c r="F649">
        <f t="shared" si="10"/>
        <v>2</v>
      </c>
    </row>
    <row r="650" spans="1:6" x14ac:dyDescent="0.3">
      <c r="A650" t="s">
        <v>5</v>
      </c>
      <c r="B650" t="s">
        <v>10</v>
      </c>
      <c r="C650">
        <v>1</v>
      </c>
      <c r="D650">
        <v>4</v>
      </c>
      <c r="E650" s="24">
        <v>139094404799</v>
      </c>
      <c r="F650">
        <f t="shared" si="10"/>
        <v>2.2999999999999998</v>
      </c>
    </row>
    <row r="651" spans="1:6" x14ac:dyDescent="0.3">
      <c r="A651" t="s">
        <v>5</v>
      </c>
      <c r="B651" t="s">
        <v>10</v>
      </c>
      <c r="C651">
        <v>1</v>
      </c>
      <c r="D651">
        <v>4</v>
      </c>
      <c r="E651" s="24">
        <v>123123151400</v>
      </c>
      <c r="F651">
        <f t="shared" si="10"/>
        <v>2.1</v>
      </c>
    </row>
    <row r="652" spans="1:6" x14ac:dyDescent="0.3">
      <c r="A652" t="s">
        <v>5</v>
      </c>
      <c r="B652" t="s">
        <v>10</v>
      </c>
      <c r="C652">
        <v>1</v>
      </c>
      <c r="D652">
        <v>4</v>
      </c>
      <c r="E652" s="24">
        <v>166489049400</v>
      </c>
      <c r="F652">
        <f t="shared" si="10"/>
        <v>2.8</v>
      </c>
    </row>
    <row r="653" spans="1:6" x14ac:dyDescent="0.3">
      <c r="A653" t="s">
        <v>5</v>
      </c>
      <c r="B653" t="s">
        <v>10</v>
      </c>
      <c r="C653">
        <v>1</v>
      </c>
      <c r="D653">
        <v>4</v>
      </c>
      <c r="E653" s="24">
        <v>165964655900</v>
      </c>
      <c r="F653">
        <f t="shared" si="10"/>
        <v>2.8</v>
      </c>
    </row>
    <row r="654" spans="1:6" x14ac:dyDescent="0.3">
      <c r="A654" t="s">
        <v>5</v>
      </c>
      <c r="B654" t="s">
        <v>10</v>
      </c>
      <c r="C654">
        <v>1</v>
      </c>
      <c r="D654">
        <v>4</v>
      </c>
      <c r="E654" s="24">
        <v>147291328100</v>
      </c>
      <c r="F654">
        <f t="shared" si="10"/>
        <v>2.5</v>
      </c>
    </row>
    <row r="655" spans="1:6" x14ac:dyDescent="0.3">
      <c r="A655" t="s">
        <v>5</v>
      </c>
      <c r="B655" t="s">
        <v>10</v>
      </c>
      <c r="C655">
        <v>1</v>
      </c>
      <c r="D655">
        <v>4</v>
      </c>
      <c r="E655" s="24">
        <v>161820175800</v>
      </c>
      <c r="F655">
        <f t="shared" si="10"/>
        <v>2.7</v>
      </c>
    </row>
    <row r="656" spans="1:6" x14ac:dyDescent="0.3">
      <c r="A656" t="s">
        <v>5</v>
      </c>
      <c r="B656" t="s">
        <v>10</v>
      </c>
      <c r="C656">
        <v>1</v>
      </c>
      <c r="D656">
        <v>4</v>
      </c>
      <c r="E656" s="24">
        <v>156095024600</v>
      </c>
      <c r="F656">
        <f t="shared" si="10"/>
        <v>2.6</v>
      </c>
    </row>
    <row r="657" spans="1:6" x14ac:dyDescent="0.3">
      <c r="A657" t="s">
        <v>5</v>
      </c>
      <c r="B657" t="s">
        <v>10</v>
      </c>
      <c r="C657">
        <v>1</v>
      </c>
      <c r="D657">
        <v>4</v>
      </c>
      <c r="E657" s="24">
        <v>466086288300</v>
      </c>
      <c r="F657">
        <f t="shared" si="10"/>
        <v>7.8</v>
      </c>
    </row>
    <row r="658" spans="1:6" x14ac:dyDescent="0.3">
      <c r="A658" t="s">
        <v>5</v>
      </c>
      <c r="B658" t="s">
        <v>10</v>
      </c>
      <c r="C658">
        <v>1</v>
      </c>
      <c r="D658">
        <v>4</v>
      </c>
      <c r="E658" s="24">
        <v>468541329000</v>
      </c>
      <c r="F658">
        <f t="shared" si="10"/>
        <v>7.8</v>
      </c>
    </row>
    <row r="659" spans="1:6" x14ac:dyDescent="0.3">
      <c r="A659" t="s">
        <v>5</v>
      </c>
      <c r="B659" t="s">
        <v>10</v>
      </c>
      <c r="C659">
        <v>1</v>
      </c>
      <c r="D659">
        <v>4</v>
      </c>
      <c r="E659" s="24">
        <v>415174290600</v>
      </c>
      <c r="F659">
        <f t="shared" si="10"/>
        <v>6.9</v>
      </c>
    </row>
    <row r="660" spans="1:6" x14ac:dyDescent="0.3">
      <c r="A660" t="s">
        <v>5</v>
      </c>
      <c r="B660" t="s">
        <v>10</v>
      </c>
      <c r="C660">
        <v>1</v>
      </c>
      <c r="D660">
        <v>4</v>
      </c>
      <c r="E660" s="24">
        <v>321937760100</v>
      </c>
      <c r="F660">
        <f t="shared" si="10"/>
        <v>5.4</v>
      </c>
    </row>
    <row r="661" spans="1:6" x14ac:dyDescent="0.3">
      <c r="A661" t="s">
        <v>5</v>
      </c>
      <c r="B661" t="s">
        <v>10</v>
      </c>
      <c r="C661">
        <v>1</v>
      </c>
      <c r="D661">
        <v>4</v>
      </c>
      <c r="E661" s="24">
        <v>358440162500</v>
      </c>
      <c r="F661">
        <f t="shared" si="10"/>
        <v>6</v>
      </c>
    </row>
    <row r="662" spans="1:6" x14ac:dyDescent="0.3">
      <c r="A662" t="s">
        <v>5</v>
      </c>
      <c r="B662" t="s">
        <v>10</v>
      </c>
      <c r="C662">
        <v>0</v>
      </c>
      <c r="D662">
        <v>4</v>
      </c>
      <c r="E662" s="24">
        <v>411042823400</v>
      </c>
      <c r="F662">
        <f t="shared" si="10"/>
        <v>6.9</v>
      </c>
    </row>
    <row r="663" spans="1:6" x14ac:dyDescent="0.3">
      <c r="A663" t="s">
        <v>5</v>
      </c>
      <c r="B663" t="s">
        <v>10</v>
      </c>
      <c r="C663">
        <v>1</v>
      </c>
      <c r="D663">
        <v>4</v>
      </c>
      <c r="E663" s="24">
        <v>475972317900</v>
      </c>
      <c r="F663">
        <f t="shared" si="10"/>
        <v>7.9</v>
      </c>
    </row>
    <row r="664" spans="1:6" x14ac:dyDescent="0.3">
      <c r="A664" t="s">
        <v>5</v>
      </c>
      <c r="B664" t="s">
        <v>10</v>
      </c>
      <c r="C664">
        <v>1</v>
      </c>
      <c r="D664">
        <v>4</v>
      </c>
      <c r="E664" s="24">
        <v>559529000100</v>
      </c>
      <c r="F664">
        <f t="shared" si="10"/>
        <v>9.3000000000000007</v>
      </c>
    </row>
    <row r="665" spans="1:6" x14ac:dyDescent="0.3">
      <c r="A665" t="s">
        <v>1</v>
      </c>
      <c r="B665" t="s">
        <v>4</v>
      </c>
      <c r="C665">
        <v>1</v>
      </c>
      <c r="D665">
        <v>4</v>
      </c>
      <c r="E665" s="24">
        <v>69707484400</v>
      </c>
      <c r="F665">
        <f t="shared" si="10"/>
        <v>1.2</v>
      </c>
    </row>
    <row r="666" spans="1:6" x14ac:dyDescent="0.3">
      <c r="A666" t="s">
        <v>1</v>
      </c>
      <c r="B666" t="s">
        <v>4</v>
      </c>
      <c r="C666">
        <v>1</v>
      </c>
      <c r="D666">
        <v>4</v>
      </c>
      <c r="E666" s="24">
        <v>422077918700</v>
      </c>
      <c r="F666">
        <f t="shared" si="10"/>
        <v>7</v>
      </c>
    </row>
    <row r="667" spans="1:6" x14ac:dyDescent="0.3">
      <c r="A667" t="s">
        <v>1</v>
      </c>
      <c r="B667" t="s">
        <v>4</v>
      </c>
      <c r="C667">
        <v>1</v>
      </c>
      <c r="D667">
        <v>4</v>
      </c>
      <c r="E667" s="24">
        <v>753167808700</v>
      </c>
      <c r="F667">
        <f t="shared" si="10"/>
        <v>12.6</v>
      </c>
    </row>
    <row r="668" spans="1:6" x14ac:dyDescent="0.3">
      <c r="A668" t="s">
        <v>1</v>
      </c>
      <c r="B668" t="s">
        <v>4</v>
      </c>
      <c r="C668">
        <v>1</v>
      </c>
      <c r="D668">
        <v>4</v>
      </c>
      <c r="E668" s="24">
        <v>475363117700</v>
      </c>
      <c r="F668">
        <f t="shared" si="10"/>
        <v>7.9</v>
      </c>
    </row>
    <row r="669" spans="1:6" x14ac:dyDescent="0.3">
      <c r="A669" t="s">
        <v>1</v>
      </c>
      <c r="B669" t="s">
        <v>4</v>
      </c>
      <c r="C669">
        <v>1</v>
      </c>
      <c r="D669">
        <v>4</v>
      </c>
      <c r="E669" s="24">
        <v>380600890600</v>
      </c>
      <c r="F669">
        <f t="shared" si="10"/>
        <v>6.3</v>
      </c>
    </row>
    <row r="670" spans="1:6" x14ac:dyDescent="0.3">
      <c r="A670" t="s">
        <v>1</v>
      </c>
      <c r="B670" t="s">
        <v>3</v>
      </c>
      <c r="C670">
        <v>1</v>
      </c>
      <c r="D670">
        <v>4</v>
      </c>
      <c r="E670" s="24">
        <v>5739440000</v>
      </c>
      <c r="F670">
        <f t="shared" si="10"/>
        <v>0.1</v>
      </c>
    </row>
    <row r="671" spans="1:6" x14ac:dyDescent="0.3">
      <c r="A671" t="s">
        <v>1</v>
      </c>
      <c r="B671" t="s">
        <v>3</v>
      </c>
      <c r="C671">
        <v>1</v>
      </c>
      <c r="D671">
        <v>4</v>
      </c>
      <c r="E671" s="24">
        <v>1989599300</v>
      </c>
      <c r="F671">
        <f t="shared" si="10"/>
        <v>0</v>
      </c>
    </row>
    <row r="672" spans="1:6" x14ac:dyDescent="0.3">
      <c r="A672" t="s">
        <v>1</v>
      </c>
      <c r="B672" t="s">
        <v>3</v>
      </c>
      <c r="C672">
        <v>1</v>
      </c>
      <c r="D672">
        <v>4</v>
      </c>
      <c r="E672" s="24">
        <v>2921142900</v>
      </c>
      <c r="F672">
        <f t="shared" si="10"/>
        <v>0</v>
      </c>
    </row>
    <row r="673" spans="1:6" x14ac:dyDescent="0.3">
      <c r="A673" t="s">
        <v>1</v>
      </c>
      <c r="B673" t="s">
        <v>3</v>
      </c>
      <c r="C673">
        <v>1</v>
      </c>
      <c r="D673">
        <v>4</v>
      </c>
      <c r="E673" s="24">
        <v>5817157200</v>
      </c>
      <c r="F673">
        <f t="shared" si="10"/>
        <v>0.1</v>
      </c>
    </row>
    <row r="674" spans="1:6" x14ac:dyDescent="0.3">
      <c r="A674" t="s">
        <v>1</v>
      </c>
      <c r="B674" t="s">
        <v>3</v>
      </c>
      <c r="C674">
        <v>1</v>
      </c>
      <c r="D674">
        <v>4</v>
      </c>
      <c r="E674" s="24">
        <v>5016753700</v>
      </c>
      <c r="F674">
        <f t="shared" si="10"/>
        <v>0.1</v>
      </c>
    </row>
    <row r="675" spans="1:6" x14ac:dyDescent="0.3">
      <c r="A675" t="s">
        <v>1</v>
      </c>
      <c r="B675" t="s">
        <v>3</v>
      </c>
      <c r="C675">
        <v>1</v>
      </c>
      <c r="D675">
        <v>4</v>
      </c>
      <c r="E675" s="24">
        <v>6724884900</v>
      </c>
      <c r="F675">
        <f t="shared" si="10"/>
        <v>0.1</v>
      </c>
    </row>
    <row r="676" spans="1:6" x14ac:dyDescent="0.3">
      <c r="A676" t="s">
        <v>1</v>
      </c>
      <c r="B676" t="s">
        <v>5</v>
      </c>
      <c r="C676">
        <v>1</v>
      </c>
      <c r="D676">
        <v>4</v>
      </c>
      <c r="E676" s="24">
        <v>425582935600</v>
      </c>
      <c r="F676">
        <f t="shared" si="10"/>
        <v>7.1</v>
      </c>
    </row>
    <row r="677" spans="1:6" x14ac:dyDescent="0.3">
      <c r="A677" t="s">
        <v>1</v>
      </c>
      <c r="B677" t="s">
        <v>5</v>
      </c>
      <c r="C677">
        <v>1</v>
      </c>
      <c r="D677">
        <v>4</v>
      </c>
      <c r="E677" s="24">
        <v>478451565300</v>
      </c>
      <c r="F677">
        <f t="shared" si="10"/>
        <v>8</v>
      </c>
    </row>
    <row r="678" spans="1:6" x14ac:dyDescent="0.3">
      <c r="A678" t="s">
        <v>1</v>
      </c>
      <c r="B678" t="s">
        <v>5</v>
      </c>
      <c r="C678">
        <v>1</v>
      </c>
      <c r="D678">
        <v>4</v>
      </c>
      <c r="E678" s="24">
        <v>626103617600</v>
      </c>
      <c r="F678">
        <f t="shared" si="10"/>
        <v>10.4</v>
      </c>
    </row>
    <row r="679" spans="1:6" x14ac:dyDescent="0.3">
      <c r="A679" t="s">
        <v>1</v>
      </c>
      <c r="B679" t="s">
        <v>5</v>
      </c>
      <c r="C679">
        <v>1</v>
      </c>
      <c r="D679">
        <v>4</v>
      </c>
      <c r="E679" s="24">
        <v>495906874400</v>
      </c>
      <c r="F679">
        <f t="shared" si="10"/>
        <v>8.3000000000000007</v>
      </c>
    </row>
    <row r="680" spans="1:6" x14ac:dyDescent="0.3">
      <c r="A680" t="s">
        <v>1</v>
      </c>
      <c r="B680" t="s">
        <v>5</v>
      </c>
      <c r="C680">
        <v>1</v>
      </c>
      <c r="D680">
        <v>4</v>
      </c>
      <c r="E680" s="24">
        <v>491419355900</v>
      </c>
      <c r="F680">
        <f t="shared" si="10"/>
        <v>8.1999999999999993</v>
      </c>
    </row>
    <row r="681" spans="1:6" x14ac:dyDescent="0.3">
      <c r="A681" t="s">
        <v>1</v>
      </c>
      <c r="B681" t="s">
        <v>5</v>
      </c>
      <c r="C681">
        <v>1</v>
      </c>
      <c r="D681">
        <v>4</v>
      </c>
      <c r="E681" s="24">
        <v>499869811700</v>
      </c>
      <c r="F681">
        <f t="shared" si="10"/>
        <v>8.3000000000000007</v>
      </c>
    </row>
    <row r="682" spans="1:6" x14ac:dyDescent="0.3">
      <c r="A682" t="s">
        <v>1</v>
      </c>
      <c r="B682" t="s">
        <v>5</v>
      </c>
      <c r="C682">
        <v>1</v>
      </c>
      <c r="D682">
        <v>4</v>
      </c>
      <c r="E682" s="24">
        <v>530382031400</v>
      </c>
      <c r="F682">
        <f t="shared" si="10"/>
        <v>8.8000000000000007</v>
      </c>
    </row>
    <row r="683" spans="1:6" x14ac:dyDescent="0.3">
      <c r="A683" t="s">
        <v>1</v>
      </c>
      <c r="B683" t="s">
        <v>5</v>
      </c>
      <c r="C683">
        <v>1</v>
      </c>
      <c r="D683">
        <v>4</v>
      </c>
      <c r="E683" s="24">
        <v>161448455700</v>
      </c>
      <c r="F683">
        <f t="shared" si="10"/>
        <v>2.7</v>
      </c>
    </row>
    <row r="684" spans="1:6" x14ac:dyDescent="0.3">
      <c r="A684" t="s">
        <v>1</v>
      </c>
      <c r="B684" t="s">
        <v>5</v>
      </c>
      <c r="C684">
        <v>1</v>
      </c>
      <c r="D684">
        <v>4</v>
      </c>
      <c r="E684" s="24">
        <v>142011854900</v>
      </c>
      <c r="F684">
        <f t="shared" si="10"/>
        <v>2.4</v>
      </c>
    </row>
    <row r="685" spans="1:6" x14ac:dyDescent="0.3">
      <c r="A685" t="s">
        <v>1</v>
      </c>
      <c r="B685" t="s">
        <v>5</v>
      </c>
      <c r="C685">
        <v>1</v>
      </c>
      <c r="D685">
        <v>4</v>
      </c>
      <c r="E685" s="24">
        <v>148790046100</v>
      </c>
      <c r="F685">
        <f t="shared" si="10"/>
        <v>2.5</v>
      </c>
    </row>
    <row r="686" spans="1:6" x14ac:dyDescent="0.3">
      <c r="A686" t="s">
        <v>1</v>
      </c>
      <c r="B686" t="s">
        <v>5</v>
      </c>
      <c r="C686">
        <v>1</v>
      </c>
      <c r="D686">
        <v>4</v>
      </c>
      <c r="E686" s="24">
        <v>148069100700</v>
      </c>
      <c r="F686">
        <f t="shared" si="10"/>
        <v>2.5</v>
      </c>
    </row>
    <row r="687" spans="1:6" x14ac:dyDescent="0.3">
      <c r="A687" t="s">
        <v>1</v>
      </c>
      <c r="B687" t="s">
        <v>5</v>
      </c>
      <c r="C687">
        <v>1</v>
      </c>
      <c r="D687">
        <v>4</v>
      </c>
      <c r="E687" s="24">
        <v>186577453600</v>
      </c>
      <c r="F687">
        <f t="shared" si="10"/>
        <v>3.1</v>
      </c>
    </row>
    <row r="688" spans="1:6" x14ac:dyDescent="0.3">
      <c r="A688" t="s">
        <v>1</v>
      </c>
      <c r="B688" t="s">
        <v>5</v>
      </c>
      <c r="C688">
        <v>1</v>
      </c>
      <c r="D688">
        <v>4</v>
      </c>
      <c r="E688" s="24">
        <v>189859062500</v>
      </c>
      <c r="F688">
        <f t="shared" si="10"/>
        <v>3.2</v>
      </c>
    </row>
    <row r="689" spans="1:6" x14ac:dyDescent="0.3">
      <c r="A689" t="s">
        <v>1</v>
      </c>
      <c r="B689" t="s">
        <v>5</v>
      </c>
      <c r="C689">
        <v>1</v>
      </c>
      <c r="D689">
        <v>4</v>
      </c>
      <c r="E689" s="24">
        <v>171795673100</v>
      </c>
      <c r="F689">
        <f t="shared" si="10"/>
        <v>2.9</v>
      </c>
    </row>
    <row r="690" spans="1:6" x14ac:dyDescent="0.3">
      <c r="A690" t="s">
        <v>1</v>
      </c>
      <c r="B690" t="s">
        <v>5</v>
      </c>
      <c r="C690">
        <v>1</v>
      </c>
      <c r="D690">
        <v>4</v>
      </c>
      <c r="E690" s="24">
        <v>190530338900</v>
      </c>
      <c r="F690">
        <f t="shared" si="10"/>
        <v>3.2</v>
      </c>
    </row>
    <row r="691" spans="1:6" x14ac:dyDescent="0.3">
      <c r="A691" t="s">
        <v>1</v>
      </c>
      <c r="B691" t="s">
        <v>5</v>
      </c>
      <c r="C691">
        <v>1</v>
      </c>
      <c r="D691">
        <v>4</v>
      </c>
      <c r="E691" s="24">
        <v>228676255900</v>
      </c>
      <c r="F691">
        <f t="shared" si="10"/>
        <v>3.8</v>
      </c>
    </row>
    <row r="692" spans="1:6" x14ac:dyDescent="0.3">
      <c r="A692" t="s">
        <v>1</v>
      </c>
      <c r="B692" t="s">
        <v>5</v>
      </c>
      <c r="C692">
        <v>1</v>
      </c>
      <c r="D692">
        <v>4</v>
      </c>
      <c r="E692" s="24">
        <v>510506061700</v>
      </c>
      <c r="F692">
        <f t="shared" si="10"/>
        <v>8.5</v>
      </c>
    </row>
    <row r="693" spans="1:6" x14ac:dyDescent="0.3">
      <c r="A693" t="s">
        <v>1</v>
      </c>
      <c r="B693" t="s">
        <v>5</v>
      </c>
      <c r="C693">
        <v>1</v>
      </c>
      <c r="D693">
        <v>4</v>
      </c>
      <c r="E693" s="24">
        <v>560295973400</v>
      </c>
      <c r="F693">
        <f t="shared" si="10"/>
        <v>9.3000000000000007</v>
      </c>
    </row>
    <row r="694" spans="1:6" x14ac:dyDescent="0.3">
      <c r="A694" t="s">
        <v>1</v>
      </c>
      <c r="B694" t="s">
        <v>5</v>
      </c>
      <c r="C694">
        <v>1</v>
      </c>
      <c r="D694">
        <v>4</v>
      </c>
      <c r="E694" s="24">
        <v>733226697200</v>
      </c>
      <c r="F694">
        <f t="shared" si="10"/>
        <v>12.2</v>
      </c>
    </row>
    <row r="695" spans="1:6" x14ac:dyDescent="0.3">
      <c r="A695" t="s">
        <v>1</v>
      </c>
      <c r="B695" t="s">
        <v>5</v>
      </c>
      <c r="C695">
        <v>1</v>
      </c>
      <c r="D695">
        <v>4</v>
      </c>
      <c r="E695" s="24">
        <v>2019832216900</v>
      </c>
      <c r="F695">
        <f t="shared" si="10"/>
        <v>33.700000000000003</v>
      </c>
    </row>
    <row r="696" spans="1:6" x14ac:dyDescent="0.3">
      <c r="A696" t="s">
        <v>1</v>
      </c>
      <c r="B696" t="s">
        <v>5</v>
      </c>
      <c r="C696">
        <v>1</v>
      </c>
      <c r="D696">
        <v>4</v>
      </c>
      <c r="E696" s="24">
        <v>312963337500</v>
      </c>
      <c r="F696">
        <f t="shared" si="10"/>
        <v>5.2</v>
      </c>
    </row>
    <row r="697" spans="1:6" x14ac:dyDescent="0.3">
      <c r="A697" t="s">
        <v>1</v>
      </c>
      <c r="B697" t="s">
        <v>5</v>
      </c>
      <c r="C697">
        <v>1</v>
      </c>
      <c r="D697">
        <v>4</v>
      </c>
      <c r="E697" s="24">
        <v>521889770600</v>
      </c>
      <c r="F697">
        <f t="shared" si="10"/>
        <v>8.6999999999999993</v>
      </c>
    </row>
    <row r="698" spans="1:6" x14ac:dyDescent="0.3">
      <c r="A698" t="s">
        <v>1</v>
      </c>
      <c r="B698" t="s">
        <v>5</v>
      </c>
      <c r="C698">
        <v>1</v>
      </c>
      <c r="D698">
        <v>4</v>
      </c>
      <c r="E698" s="24">
        <v>753110420600</v>
      </c>
      <c r="F698">
        <f t="shared" si="10"/>
        <v>12.6</v>
      </c>
    </row>
    <row r="699" spans="1:6" x14ac:dyDescent="0.3">
      <c r="A699" t="s">
        <v>1</v>
      </c>
      <c r="B699" t="s">
        <v>5</v>
      </c>
      <c r="C699">
        <v>1</v>
      </c>
      <c r="D699">
        <v>4</v>
      </c>
      <c r="E699" s="24">
        <v>865566473800</v>
      </c>
      <c r="F699">
        <f t="shared" si="10"/>
        <v>14.4</v>
      </c>
    </row>
    <row r="700" spans="1:6" x14ac:dyDescent="0.3">
      <c r="A700" t="s">
        <v>1</v>
      </c>
      <c r="B700" t="s">
        <v>5</v>
      </c>
      <c r="C700">
        <v>1</v>
      </c>
      <c r="D700">
        <v>4</v>
      </c>
      <c r="E700" s="24">
        <v>734412180600</v>
      </c>
      <c r="F700">
        <f t="shared" si="10"/>
        <v>12.2</v>
      </c>
    </row>
    <row r="701" spans="1:6" x14ac:dyDescent="0.3">
      <c r="A701" t="s">
        <v>1</v>
      </c>
      <c r="B701" t="s">
        <v>2</v>
      </c>
      <c r="C701">
        <v>1</v>
      </c>
      <c r="D701">
        <v>4</v>
      </c>
      <c r="E701" s="24">
        <v>802540400</v>
      </c>
      <c r="F701">
        <f t="shared" si="10"/>
        <v>0</v>
      </c>
    </row>
    <row r="702" spans="1:6" x14ac:dyDescent="0.3">
      <c r="A702" t="s">
        <v>1</v>
      </c>
      <c r="B702" t="s">
        <v>2</v>
      </c>
      <c r="C702">
        <v>1</v>
      </c>
      <c r="D702">
        <v>4</v>
      </c>
      <c r="E702" s="24">
        <v>903075300</v>
      </c>
      <c r="F702">
        <f t="shared" si="10"/>
        <v>0</v>
      </c>
    </row>
    <row r="703" spans="1:6" x14ac:dyDescent="0.3">
      <c r="A703" t="s">
        <v>1</v>
      </c>
      <c r="B703" t="s">
        <v>2</v>
      </c>
      <c r="C703">
        <v>1</v>
      </c>
      <c r="D703">
        <v>4</v>
      </c>
      <c r="E703" s="24">
        <v>3415285200</v>
      </c>
      <c r="F703">
        <f t="shared" si="10"/>
        <v>0.1</v>
      </c>
    </row>
    <row r="704" spans="1:6" x14ac:dyDescent="0.3">
      <c r="A704" t="s">
        <v>1</v>
      </c>
      <c r="B704" t="s">
        <v>2</v>
      </c>
      <c r="C704">
        <v>1</v>
      </c>
      <c r="D704">
        <v>4</v>
      </c>
      <c r="E704" s="24">
        <v>1887430100</v>
      </c>
      <c r="F704">
        <f t="shared" si="10"/>
        <v>0</v>
      </c>
    </row>
    <row r="705" spans="1:6" x14ac:dyDescent="0.3">
      <c r="A705" t="s">
        <v>1</v>
      </c>
      <c r="B705" t="s">
        <v>2</v>
      </c>
      <c r="C705">
        <v>1</v>
      </c>
      <c r="D705">
        <v>4</v>
      </c>
      <c r="E705" s="24">
        <v>2459589300</v>
      </c>
      <c r="F705">
        <f t="shared" si="10"/>
        <v>0</v>
      </c>
    </row>
    <row r="706" spans="1:6" x14ac:dyDescent="0.3">
      <c r="A706" t="s">
        <v>1</v>
      </c>
      <c r="B706" t="s">
        <v>10</v>
      </c>
      <c r="C706">
        <v>1</v>
      </c>
      <c r="D706">
        <v>4</v>
      </c>
      <c r="E706" s="24">
        <v>1093592200</v>
      </c>
      <c r="F706">
        <f t="shared" ref="F706:F769" si="11">ROUND(E706/60000000000, 1)</f>
        <v>0</v>
      </c>
    </row>
    <row r="707" spans="1:6" x14ac:dyDescent="0.3">
      <c r="A707" t="s">
        <v>1</v>
      </c>
      <c r="B707" t="s">
        <v>10</v>
      </c>
      <c r="C707">
        <v>1</v>
      </c>
      <c r="D707">
        <v>4</v>
      </c>
      <c r="E707" s="24">
        <v>1528670300</v>
      </c>
      <c r="F707">
        <f t="shared" si="11"/>
        <v>0</v>
      </c>
    </row>
    <row r="708" spans="1:6" x14ac:dyDescent="0.3">
      <c r="A708" t="s">
        <v>1</v>
      </c>
      <c r="B708" t="s">
        <v>10</v>
      </c>
      <c r="C708">
        <v>1</v>
      </c>
      <c r="D708">
        <v>4</v>
      </c>
      <c r="E708" s="24">
        <v>706624900</v>
      </c>
      <c r="F708">
        <f t="shared" si="11"/>
        <v>0</v>
      </c>
    </row>
    <row r="709" spans="1:6" x14ac:dyDescent="0.3">
      <c r="A709" t="s">
        <v>1</v>
      </c>
      <c r="B709" t="s">
        <v>10</v>
      </c>
      <c r="C709">
        <v>1</v>
      </c>
      <c r="D709">
        <v>4</v>
      </c>
      <c r="E709" s="24">
        <v>655142800</v>
      </c>
      <c r="F709">
        <f t="shared" si="11"/>
        <v>0</v>
      </c>
    </row>
    <row r="710" spans="1:6" x14ac:dyDescent="0.3">
      <c r="A710" t="s">
        <v>1</v>
      </c>
      <c r="B710" t="s">
        <v>10</v>
      </c>
      <c r="C710">
        <v>1</v>
      </c>
      <c r="D710">
        <v>4</v>
      </c>
      <c r="E710" s="24">
        <v>789417100</v>
      </c>
      <c r="F710">
        <f t="shared" si="11"/>
        <v>0</v>
      </c>
    </row>
    <row r="711" spans="1:6" x14ac:dyDescent="0.3">
      <c r="A711" t="s">
        <v>1</v>
      </c>
      <c r="B711" t="s">
        <v>10</v>
      </c>
      <c r="C711">
        <v>1</v>
      </c>
      <c r="D711">
        <v>4</v>
      </c>
      <c r="E711" s="24">
        <v>3144021600</v>
      </c>
      <c r="F711">
        <f t="shared" si="11"/>
        <v>0.1</v>
      </c>
    </row>
    <row r="712" spans="1:6" x14ac:dyDescent="0.3">
      <c r="A712" t="s">
        <v>2</v>
      </c>
      <c r="B712" t="s">
        <v>4</v>
      </c>
      <c r="C712">
        <v>0</v>
      </c>
      <c r="D712">
        <v>4</v>
      </c>
      <c r="E712" s="24">
        <v>90319390700</v>
      </c>
      <c r="F712">
        <f t="shared" si="11"/>
        <v>1.5</v>
      </c>
    </row>
    <row r="713" spans="1:6" x14ac:dyDescent="0.3">
      <c r="A713" t="s">
        <v>2</v>
      </c>
      <c r="B713" t="s">
        <v>4</v>
      </c>
      <c r="C713">
        <v>0</v>
      </c>
      <c r="D713">
        <v>4</v>
      </c>
      <c r="E713" s="24">
        <v>435361889300</v>
      </c>
      <c r="F713">
        <f t="shared" si="11"/>
        <v>7.3</v>
      </c>
    </row>
    <row r="714" spans="1:6" x14ac:dyDescent="0.3">
      <c r="A714" t="s">
        <v>2</v>
      </c>
      <c r="B714" t="s">
        <v>4</v>
      </c>
      <c r="C714">
        <v>0</v>
      </c>
      <c r="D714">
        <v>4</v>
      </c>
      <c r="E714" s="24">
        <v>526981644600</v>
      </c>
      <c r="F714">
        <f t="shared" si="11"/>
        <v>8.8000000000000007</v>
      </c>
    </row>
    <row r="715" spans="1:6" x14ac:dyDescent="0.3">
      <c r="A715" t="s">
        <v>2</v>
      </c>
      <c r="B715" t="s">
        <v>4</v>
      </c>
      <c r="C715">
        <v>0</v>
      </c>
      <c r="D715">
        <v>4</v>
      </c>
      <c r="E715" s="24">
        <v>748806479800</v>
      </c>
      <c r="F715">
        <f t="shared" si="11"/>
        <v>12.5</v>
      </c>
    </row>
    <row r="716" spans="1:6" x14ac:dyDescent="0.3">
      <c r="A716" t="s">
        <v>2</v>
      </c>
      <c r="B716" t="s">
        <v>3</v>
      </c>
      <c r="C716">
        <v>0</v>
      </c>
      <c r="D716">
        <v>4</v>
      </c>
      <c r="E716" s="24">
        <v>440861100</v>
      </c>
      <c r="F716">
        <f t="shared" si="11"/>
        <v>0</v>
      </c>
    </row>
    <row r="717" spans="1:6" x14ac:dyDescent="0.3">
      <c r="A717" t="s">
        <v>2</v>
      </c>
      <c r="B717" t="s">
        <v>3</v>
      </c>
      <c r="C717">
        <v>0</v>
      </c>
      <c r="D717">
        <v>4</v>
      </c>
      <c r="E717" s="24">
        <v>1713316500</v>
      </c>
      <c r="F717">
        <f t="shared" si="11"/>
        <v>0</v>
      </c>
    </row>
    <row r="718" spans="1:6" x14ac:dyDescent="0.3">
      <c r="A718" t="s">
        <v>2</v>
      </c>
      <c r="B718" t="s">
        <v>3</v>
      </c>
      <c r="C718">
        <v>1</v>
      </c>
      <c r="D718">
        <v>4</v>
      </c>
      <c r="E718" s="24">
        <v>2395406800</v>
      </c>
      <c r="F718">
        <f t="shared" si="11"/>
        <v>0</v>
      </c>
    </row>
    <row r="719" spans="1:6" x14ac:dyDescent="0.3">
      <c r="A719" t="s">
        <v>2</v>
      </c>
      <c r="B719" t="s">
        <v>3</v>
      </c>
      <c r="C719">
        <v>0</v>
      </c>
      <c r="D719">
        <v>4</v>
      </c>
      <c r="E719" s="24">
        <v>1959234900</v>
      </c>
      <c r="F719">
        <f t="shared" si="11"/>
        <v>0</v>
      </c>
    </row>
    <row r="720" spans="1:6" x14ac:dyDescent="0.3">
      <c r="A720" t="s">
        <v>2</v>
      </c>
      <c r="B720" t="s">
        <v>3</v>
      </c>
      <c r="C720">
        <v>0</v>
      </c>
      <c r="D720">
        <v>4</v>
      </c>
      <c r="E720" s="24">
        <v>1805156200</v>
      </c>
      <c r="F720">
        <f t="shared" si="11"/>
        <v>0</v>
      </c>
    </row>
    <row r="721" spans="1:6" x14ac:dyDescent="0.3">
      <c r="A721" t="s">
        <v>2</v>
      </c>
      <c r="B721" t="s">
        <v>5</v>
      </c>
      <c r="C721">
        <v>0</v>
      </c>
      <c r="D721">
        <v>4</v>
      </c>
      <c r="E721" s="24">
        <v>167816212400</v>
      </c>
      <c r="F721">
        <f t="shared" si="11"/>
        <v>2.8</v>
      </c>
    </row>
    <row r="722" spans="1:6" x14ac:dyDescent="0.3">
      <c r="A722" t="s">
        <v>2</v>
      </c>
      <c r="B722" t="s">
        <v>5</v>
      </c>
      <c r="C722">
        <v>0</v>
      </c>
      <c r="D722">
        <v>4</v>
      </c>
      <c r="E722" s="24">
        <v>116221538300</v>
      </c>
      <c r="F722">
        <f t="shared" si="11"/>
        <v>1.9</v>
      </c>
    </row>
    <row r="723" spans="1:6" x14ac:dyDescent="0.3">
      <c r="A723" t="s">
        <v>2</v>
      </c>
      <c r="B723" t="s">
        <v>5</v>
      </c>
      <c r="C723">
        <v>0</v>
      </c>
      <c r="D723">
        <v>4</v>
      </c>
      <c r="E723" s="24">
        <v>129027793200</v>
      </c>
      <c r="F723">
        <f t="shared" si="11"/>
        <v>2.2000000000000002</v>
      </c>
    </row>
    <row r="724" spans="1:6" x14ac:dyDescent="0.3">
      <c r="A724" t="s">
        <v>2</v>
      </c>
      <c r="B724" t="s">
        <v>5</v>
      </c>
      <c r="C724">
        <v>0</v>
      </c>
      <c r="D724">
        <v>4</v>
      </c>
      <c r="E724" s="24">
        <v>131747073000</v>
      </c>
      <c r="F724">
        <f t="shared" si="11"/>
        <v>2.2000000000000002</v>
      </c>
    </row>
    <row r="725" spans="1:6" x14ac:dyDescent="0.3">
      <c r="A725" t="s">
        <v>2</v>
      </c>
      <c r="B725" t="s">
        <v>5</v>
      </c>
      <c r="C725">
        <v>0</v>
      </c>
      <c r="D725">
        <v>4</v>
      </c>
      <c r="E725" s="24">
        <v>150246826900</v>
      </c>
      <c r="F725">
        <f t="shared" si="11"/>
        <v>2.5</v>
      </c>
    </row>
    <row r="726" spans="1:6" x14ac:dyDescent="0.3">
      <c r="A726" t="s">
        <v>2</v>
      </c>
      <c r="B726" t="s">
        <v>5</v>
      </c>
      <c r="C726">
        <v>0</v>
      </c>
      <c r="D726">
        <v>4</v>
      </c>
      <c r="E726" s="24">
        <v>166650282300</v>
      </c>
      <c r="F726">
        <f t="shared" si="11"/>
        <v>2.8</v>
      </c>
    </row>
    <row r="727" spans="1:6" x14ac:dyDescent="0.3">
      <c r="A727" t="s">
        <v>2</v>
      </c>
      <c r="B727" t="s">
        <v>5</v>
      </c>
      <c r="C727">
        <v>0</v>
      </c>
      <c r="D727">
        <v>4</v>
      </c>
      <c r="E727" s="24">
        <v>142023875700</v>
      </c>
      <c r="F727">
        <f t="shared" si="11"/>
        <v>2.4</v>
      </c>
    </row>
    <row r="728" spans="1:6" x14ac:dyDescent="0.3">
      <c r="A728" t="s">
        <v>2</v>
      </c>
      <c r="B728" t="s">
        <v>5</v>
      </c>
      <c r="C728">
        <v>0</v>
      </c>
      <c r="D728">
        <v>4</v>
      </c>
      <c r="E728" s="24">
        <v>125679472800</v>
      </c>
      <c r="F728">
        <f t="shared" si="11"/>
        <v>2.1</v>
      </c>
    </row>
    <row r="729" spans="1:6" x14ac:dyDescent="0.3">
      <c r="A729" t="s">
        <v>2</v>
      </c>
      <c r="B729" t="s">
        <v>5</v>
      </c>
      <c r="C729">
        <v>0</v>
      </c>
      <c r="D729">
        <v>4</v>
      </c>
      <c r="E729" s="24">
        <v>194212194300</v>
      </c>
      <c r="F729">
        <f t="shared" si="11"/>
        <v>3.2</v>
      </c>
    </row>
    <row r="730" spans="1:6" x14ac:dyDescent="0.3">
      <c r="A730" t="s">
        <v>2</v>
      </c>
      <c r="B730" t="s">
        <v>5</v>
      </c>
      <c r="C730">
        <v>0</v>
      </c>
      <c r="D730">
        <v>4</v>
      </c>
      <c r="E730" s="24">
        <v>421653776400</v>
      </c>
      <c r="F730">
        <f t="shared" si="11"/>
        <v>7</v>
      </c>
    </row>
    <row r="731" spans="1:6" x14ac:dyDescent="0.3">
      <c r="A731" t="s">
        <v>2</v>
      </c>
      <c r="B731" t="s">
        <v>5</v>
      </c>
      <c r="C731">
        <v>0</v>
      </c>
      <c r="D731">
        <v>4</v>
      </c>
      <c r="E731" s="24">
        <v>488886872800</v>
      </c>
      <c r="F731">
        <f t="shared" si="11"/>
        <v>8.1</v>
      </c>
    </row>
    <row r="732" spans="1:6" x14ac:dyDescent="0.3">
      <c r="A732" t="s">
        <v>2</v>
      </c>
      <c r="B732" t="s">
        <v>5</v>
      </c>
      <c r="C732">
        <v>0</v>
      </c>
      <c r="D732">
        <v>4</v>
      </c>
      <c r="E732" s="24">
        <v>597100985700</v>
      </c>
      <c r="F732">
        <f t="shared" si="11"/>
        <v>10</v>
      </c>
    </row>
    <row r="733" spans="1:6" x14ac:dyDescent="0.3">
      <c r="A733" t="s">
        <v>2</v>
      </c>
      <c r="B733" t="s">
        <v>5</v>
      </c>
      <c r="C733">
        <v>0</v>
      </c>
      <c r="D733">
        <v>4</v>
      </c>
      <c r="E733" s="24">
        <v>709466280900</v>
      </c>
      <c r="F733">
        <f t="shared" si="11"/>
        <v>11.8</v>
      </c>
    </row>
    <row r="734" spans="1:6" x14ac:dyDescent="0.3">
      <c r="A734" t="s">
        <v>2</v>
      </c>
      <c r="B734" t="s">
        <v>1</v>
      </c>
      <c r="C734">
        <v>0</v>
      </c>
      <c r="D734">
        <v>4</v>
      </c>
      <c r="E734" s="24">
        <v>424108100</v>
      </c>
      <c r="F734">
        <f t="shared" si="11"/>
        <v>0</v>
      </c>
    </row>
    <row r="735" spans="1:6" x14ac:dyDescent="0.3">
      <c r="A735" t="s">
        <v>2</v>
      </c>
      <c r="B735" t="s">
        <v>1</v>
      </c>
      <c r="C735">
        <v>0</v>
      </c>
      <c r="D735">
        <v>4</v>
      </c>
      <c r="E735" s="24">
        <v>1225794200</v>
      </c>
      <c r="F735">
        <f t="shared" si="11"/>
        <v>0</v>
      </c>
    </row>
    <row r="736" spans="1:6" x14ac:dyDescent="0.3">
      <c r="A736" t="s">
        <v>2</v>
      </c>
      <c r="B736" t="s">
        <v>1</v>
      </c>
      <c r="C736">
        <v>0</v>
      </c>
      <c r="D736">
        <v>4</v>
      </c>
      <c r="E736" s="24">
        <v>1357691000</v>
      </c>
      <c r="F736">
        <f t="shared" si="11"/>
        <v>0</v>
      </c>
    </row>
    <row r="737" spans="1:6" x14ac:dyDescent="0.3">
      <c r="A737" t="s">
        <v>2</v>
      </c>
      <c r="B737" t="s">
        <v>1</v>
      </c>
      <c r="C737">
        <v>0</v>
      </c>
      <c r="D737">
        <v>4</v>
      </c>
      <c r="E737" s="24">
        <v>1009813100</v>
      </c>
      <c r="F737">
        <f t="shared" si="11"/>
        <v>0</v>
      </c>
    </row>
    <row r="738" spans="1:6" x14ac:dyDescent="0.3">
      <c r="A738" t="s">
        <v>2</v>
      </c>
      <c r="B738" t="s">
        <v>1</v>
      </c>
      <c r="C738">
        <v>0</v>
      </c>
      <c r="D738">
        <v>4</v>
      </c>
      <c r="E738" s="24">
        <v>1341431200</v>
      </c>
      <c r="F738">
        <f t="shared" si="11"/>
        <v>0</v>
      </c>
    </row>
    <row r="739" spans="1:6" x14ac:dyDescent="0.3">
      <c r="A739" t="s">
        <v>2</v>
      </c>
      <c r="B739" t="s">
        <v>10</v>
      </c>
      <c r="C739">
        <v>0</v>
      </c>
      <c r="D739">
        <v>4</v>
      </c>
      <c r="E739" s="24">
        <v>178599200</v>
      </c>
      <c r="F739">
        <f t="shared" si="11"/>
        <v>0</v>
      </c>
    </row>
    <row r="740" spans="1:6" x14ac:dyDescent="0.3">
      <c r="A740" t="s">
        <v>2</v>
      </c>
      <c r="B740" t="s">
        <v>10</v>
      </c>
      <c r="C740">
        <v>1</v>
      </c>
      <c r="D740">
        <v>4</v>
      </c>
      <c r="E740" s="24">
        <v>888157700</v>
      </c>
      <c r="F740">
        <f t="shared" si="11"/>
        <v>0</v>
      </c>
    </row>
    <row r="741" spans="1:6" x14ac:dyDescent="0.3">
      <c r="A741" t="s">
        <v>2</v>
      </c>
      <c r="B741" t="s">
        <v>10</v>
      </c>
      <c r="C741">
        <v>0</v>
      </c>
      <c r="D741">
        <v>4</v>
      </c>
      <c r="E741" s="24">
        <v>731313400</v>
      </c>
      <c r="F741">
        <f t="shared" si="11"/>
        <v>0</v>
      </c>
    </row>
    <row r="742" spans="1:6" x14ac:dyDescent="0.3">
      <c r="A742" t="s">
        <v>2</v>
      </c>
      <c r="B742" t="s">
        <v>10</v>
      </c>
      <c r="C742">
        <v>0</v>
      </c>
      <c r="D742">
        <v>4</v>
      </c>
      <c r="E742" s="24">
        <v>791105700</v>
      </c>
      <c r="F742">
        <f t="shared" si="11"/>
        <v>0</v>
      </c>
    </row>
    <row r="743" spans="1:6" x14ac:dyDescent="0.3">
      <c r="A743" t="s">
        <v>2</v>
      </c>
      <c r="B743" t="s">
        <v>10</v>
      </c>
      <c r="C743">
        <v>0</v>
      </c>
      <c r="D743">
        <v>4</v>
      </c>
      <c r="E743" s="24">
        <v>798145100</v>
      </c>
      <c r="F743">
        <f t="shared" si="11"/>
        <v>0</v>
      </c>
    </row>
    <row r="744" spans="1:6" x14ac:dyDescent="0.3">
      <c r="A744" t="s">
        <v>10</v>
      </c>
      <c r="B744" t="s">
        <v>4</v>
      </c>
      <c r="C744">
        <v>1</v>
      </c>
      <c r="D744">
        <v>4</v>
      </c>
      <c r="E744" s="24">
        <v>308660859200</v>
      </c>
      <c r="F744">
        <f t="shared" si="11"/>
        <v>5.0999999999999996</v>
      </c>
    </row>
    <row r="745" spans="1:6" x14ac:dyDescent="0.3">
      <c r="A745" t="s">
        <v>10</v>
      </c>
      <c r="B745" t="s">
        <v>4</v>
      </c>
      <c r="C745">
        <v>0</v>
      </c>
      <c r="D745">
        <v>4</v>
      </c>
      <c r="E745" s="24">
        <v>62712146200</v>
      </c>
      <c r="F745">
        <f t="shared" si="11"/>
        <v>1</v>
      </c>
    </row>
    <row r="746" spans="1:6" x14ac:dyDescent="0.3">
      <c r="A746" t="s">
        <v>10</v>
      </c>
      <c r="B746" t="s">
        <v>4</v>
      </c>
      <c r="C746">
        <v>1</v>
      </c>
      <c r="D746">
        <v>4</v>
      </c>
      <c r="E746" s="24">
        <v>329364451100</v>
      </c>
      <c r="F746">
        <f t="shared" si="11"/>
        <v>5.5</v>
      </c>
    </row>
    <row r="747" spans="1:6" x14ac:dyDescent="0.3">
      <c r="A747" t="s">
        <v>10</v>
      </c>
      <c r="B747" t="s">
        <v>4</v>
      </c>
      <c r="C747">
        <v>0</v>
      </c>
      <c r="D747">
        <v>4</v>
      </c>
      <c r="E747" s="24">
        <v>300670687300</v>
      </c>
      <c r="F747">
        <f t="shared" si="11"/>
        <v>5</v>
      </c>
    </row>
    <row r="748" spans="1:6" x14ac:dyDescent="0.3">
      <c r="A748" t="s">
        <v>10</v>
      </c>
      <c r="B748" t="s">
        <v>4</v>
      </c>
      <c r="C748">
        <v>1</v>
      </c>
      <c r="D748">
        <v>4</v>
      </c>
      <c r="E748" s="24">
        <v>323671640100</v>
      </c>
      <c r="F748">
        <f t="shared" si="11"/>
        <v>5.4</v>
      </c>
    </row>
    <row r="749" spans="1:6" x14ac:dyDescent="0.3">
      <c r="A749" t="s">
        <v>10</v>
      </c>
      <c r="B749" t="s">
        <v>4</v>
      </c>
      <c r="C749">
        <v>1</v>
      </c>
      <c r="D749">
        <v>4</v>
      </c>
      <c r="E749" s="24">
        <v>379825301500</v>
      </c>
      <c r="F749">
        <f t="shared" si="11"/>
        <v>6.3</v>
      </c>
    </row>
    <row r="750" spans="1:6" x14ac:dyDescent="0.3">
      <c r="A750" t="s">
        <v>10</v>
      </c>
      <c r="B750" t="s">
        <v>3</v>
      </c>
      <c r="C750">
        <v>0</v>
      </c>
      <c r="D750">
        <v>4</v>
      </c>
      <c r="E750" s="24">
        <v>793655800</v>
      </c>
      <c r="F750">
        <f t="shared" si="11"/>
        <v>0</v>
      </c>
    </row>
    <row r="751" spans="1:6" x14ac:dyDescent="0.3">
      <c r="A751" t="s">
        <v>10</v>
      </c>
      <c r="B751" t="s">
        <v>3</v>
      </c>
      <c r="C751">
        <v>1</v>
      </c>
      <c r="D751">
        <v>4</v>
      </c>
      <c r="E751" s="24">
        <v>1108063600</v>
      </c>
      <c r="F751">
        <f t="shared" si="11"/>
        <v>0</v>
      </c>
    </row>
    <row r="752" spans="1:6" x14ac:dyDescent="0.3">
      <c r="A752" t="s">
        <v>10</v>
      </c>
      <c r="B752" t="s">
        <v>3</v>
      </c>
      <c r="C752">
        <v>1</v>
      </c>
      <c r="D752">
        <v>4</v>
      </c>
      <c r="E752" s="24">
        <v>337710500</v>
      </c>
      <c r="F752">
        <f t="shared" si="11"/>
        <v>0</v>
      </c>
    </row>
    <row r="753" spans="1:6" x14ac:dyDescent="0.3">
      <c r="A753" t="s">
        <v>10</v>
      </c>
      <c r="B753" t="s">
        <v>3</v>
      </c>
      <c r="C753">
        <v>1</v>
      </c>
      <c r="D753">
        <v>4</v>
      </c>
      <c r="E753" s="24">
        <v>1111239300</v>
      </c>
      <c r="F753">
        <f t="shared" si="11"/>
        <v>0</v>
      </c>
    </row>
    <row r="754" spans="1:6" x14ac:dyDescent="0.3">
      <c r="A754" t="s">
        <v>10</v>
      </c>
      <c r="B754" t="s">
        <v>3</v>
      </c>
      <c r="C754">
        <v>1</v>
      </c>
      <c r="D754">
        <v>4</v>
      </c>
      <c r="E754" s="24">
        <v>1173224300</v>
      </c>
      <c r="F754">
        <f t="shared" si="11"/>
        <v>0</v>
      </c>
    </row>
    <row r="755" spans="1:6" x14ac:dyDescent="0.3">
      <c r="A755" t="s">
        <v>10</v>
      </c>
      <c r="B755" t="s">
        <v>3</v>
      </c>
      <c r="C755">
        <v>1</v>
      </c>
      <c r="D755">
        <v>4</v>
      </c>
      <c r="E755" s="24">
        <v>1122272700</v>
      </c>
      <c r="F755">
        <f t="shared" si="11"/>
        <v>0</v>
      </c>
    </row>
    <row r="756" spans="1:6" x14ac:dyDescent="0.3">
      <c r="A756" t="s">
        <v>10</v>
      </c>
      <c r="B756" t="s">
        <v>3</v>
      </c>
      <c r="C756">
        <v>1</v>
      </c>
      <c r="D756">
        <v>4</v>
      </c>
      <c r="E756" s="24">
        <v>1300133300</v>
      </c>
      <c r="F756">
        <f t="shared" si="11"/>
        <v>0</v>
      </c>
    </row>
    <row r="757" spans="1:6" x14ac:dyDescent="0.3">
      <c r="A757" t="s">
        <v>10</v>
      </c>
      <c r="B757" t="s">
        <v>5</v>
      </c>
      <c r="C757">
        <v>0</v>
      </c>
      <c r="D757">
        <v>4</v>
      </c>
      <c r="E757" s="24">
        <v>630716304200</v>
      </c>
      <c r="F757">
        <f t="shared" si="11"/>
        <v>10.5</v>
      </c>
    </row>
    <row r="758" spans="1:6" x14ac:dyDescent="0.3">
      <c r="A758" t="s">
        <v>10</v>
      </c>
      <c r="B758" t="s">
        <v>5</v>
      </c>
      <c r="C758">
        <v>1</v>
      </c>
      <c r="D758">
        <v>4</v>
      </c>
      <c r="E758" s="24">
        <v>379485554600</v>
      </c>
      <c r="F758">
        <f t="shared" si="11"/>
        <v>6.3</v>
      </c>
    </row>
    <row r="759" spans="1:6" x14ac:dyDescent="0.3">
      <c r="A759" t="s">
        <v>10</v>
      </c>
      <c r="B759" t="s">
        <v>5</v>
      </c>
      <c r="C759">
        <v>1</v>
      </c>
      <c r="D759">
        <v>4</v>
      </c>
      <c r="E759" s="24">
        <v>464042496800</v>
      </c>
      <c r="F759">
        <f t="shared" si="11"/>
        <v>7.7</v>
      </c>
    </row>
    <row r="760" spans="1:6" x14ac:dyDescent="0.3">
      <c r="A760" t="s">
        <v>10</v>
      </c>
      <c r="B760" t="s">
        <v>5</v>
      </c>
      <c r="C760">
        <v>1</v>
      </c>
      <c r="D760">
        <v>4</v>
      </c>
      <c r="E760" s="24">
        <v>486834972300</v>
      </c>
      <c r="F760">
        <f t="shared" si="11"/>
        <v>8.1</v>
      </c>
    </row>
    <row r="761" spans="1:6" x14ac:dyDescent="0.3">
      <c r="A761" t="s">
        <v>10</v>
      </c>
      <c r="B761" t="s">
        <v>5</v>
      </c>
      <c r="C761">
        <v>1</v>
      </c>
      <c r="D761">
        <v>4</v>
      </c>
      <c r="E761" s="24">
        <v>409329137500</v>
      </c>
      <c r="F761">
        <f t="shared" si="11"/>
        <v>6.8</v>
      </c>
    </row>
    <row r="762" spans="1:6" x14ac:dyDescent="0.3">
      <c r="A762" t="s">
        <v>10</v>
      </c>
      <c r="B762" t="s">
        <v>5</v>
      </c>
      <c r="C762">
        <v>1</v>
      </c>
      <c r="D762">
        <v>4</v>
      </c>
      <c r="E762" s="24">
        <v>540393009700</v>
      </c>
      <c r="F762">
        <f t="shared" si="11"/>
        <v>9</v>
      </c>
    </row>
    <row r="763" spans="1:6" x14ac:dyDescent="0.3">
      <c r="A763" t="s">
        <v>10</v>
      </c>
      <c r="B763" t="s">
        <v>5</v>
      </c>
      <c r="C763">
        <v>1</v>
      </c>
      <c r="D763">
        <v>4</v>
      </c>
      <c r="E763" s="24">
        <v>374993408300</v>
      </c>
      <c r="F763">
        <f t="shared" si="11"/>
        <v>6.2</v>
      </c>
    </row>
    <row r="764" spans="1:6" x14ac:dyDescent="0.3">
      <c r="A764" t="s">
        <v>10</v>
      </c>
      <c r="B764" t="s">
        <v>5</v>
      </c>
      <c r="C764">
        <v>1</v>
      </c>
      <c r="D764">
        <v>4</v>
      </c>
      <c r="E764" s="24">
        <v>438945642000</v>
      </c>
      <c r="F764">
        <f t="shared" si="11"/>
        <v>7.3</v>
      </c>
    </row>
    <row r="765" spans="1:6" x14ac:dyDescent="0.3">
      <c r="A765" t="s">
        <v>10</v>
      </c>
      <c r="B765" t="s">
        <v>5</v>
      </c>
      <c r="C765">
        <v>1</v>
      </c>
      <c r="D765">
        <v>4</v>
      </c>
      <c r="E765" s="24">
        <v>169021521300</v>
      </c>
      <c r="F765">
        <f t="shared" si="11"/>
        <v>2.8</v>
      </c>
    </row>
    <row r="766" spans="1:6" x14ac:dyDescent="0.3">
      <c r="A766" t="s">
        <v>10</v>
      </c>
      <c r="B766" t="s">
        <v>5</v>
      </c>
      <c r="C766">
        <v>1</v>
      </c>
      <c r="D766">
        <v>4</v>
      </c>
      <c r="E766" s="24">
        <v>119550504700</v>
      </c>
      <c r="F766">
        <f t="shared" si="11"/>
        <v>2</v>
      </c>
    </row>
    <row r="767" spans="1:6" x14ac:dyDescent="0.3">
      <c r="A767" t="s">
        <v>10</v>
      </c>
      <c r="B767" t="s">
        <v>5</v>
      </c>
      <c r="C767">
        <v>0</v>
      </c>
      <c r="D767">
        <v>4</v>
      </c>
      <c r="E767" s="24">
        <v>123173533700</v>
      </c>
      <c r="F767">
        <f t="shared" si="11"/>
        <v>2.1</v>
      </c>
    </row>
    <row r="768" spans="1:6" x14ac:dyDescent="0.3">
      <c r="A768" t="s">
        <v>10</v>
      </c>
      <c r="B768" t="s">
        <v>5</v>
      </c>
      <c r="C768">
        <v>0</v>
      </c>
      <c r="D768">
        <v>4</v>
      </c>
      <c r="E768" s="24">
        <v>149014213300</v>
      </c>
      <c r="F768">
        <f t="shared" si="11"/>
        <v>2.5</v>
      </c>
    </row>
    <row r="769" spans="1:6" x14ac:dyDescent="0.3">
      <c r="A769" t="s">
        <v>10</v>
      </c>
      <c r="B769" t="s">
        <v>5</v>
      </c>
      <c r="C769">
        <v>1</v>
      </c>
      <c r="D769">
        <v>4</v>
      </c>
      <c r="E769" s="24">
        <v>146578794000</v>
      </c>
      <c r="F769">
        <f t="shared" si="11"/>
        <v>2.4</v>
      </c>
    </row>
    <row r="770" spans="1:6" x14ac:dyDescent="0.3">
      <c r="A770" t="s">
        <v>10</v>
      </c>
      <c r="B770" t="s">
        <v>5</v>
      </c>
      <c r="C770">
        <v>1</v>
      </c>
      <c r="D770">
        <v>4</v>
      </c>
      <c r="E770" s="24">
        <v>162909923600</v>
      </c>
      <c r="F770">
        <f t="shared" ref="F770:F833" si="12">ROUND(E770/60000000000, 1)</f>
        <v>2.7</v>
      </c>
    </row>
    <row r="771" spans="1:6" x14ac:dyDescent="0.3">
      <c r="A771" t="s">
        <v>10</v>
      </c>
      <c r="B771" t="s">
        <v>5</v>
      </c>
      <c r="C771">
        <v>1</v>
      </c>
      <c r="D771">
        <v>4</v>
      </c>
      <c r="E771" s="24">
        <v>154735598400</v>
      </c>
      <c r="F771">
        <f t="shared" si="12"/>
        <v>2.6</v>
      </c>
    </row>
    <row r="772" spans="1:6" x14ac:dyDescent="0.3">
      <c r="A772" t="s">
        <v>10</v>
      </c>
      <c r="B772" t="s">
        <v>5</v>
      </c>
      <c r="C772">
        <v>0</v>
      </c>
      <c r="D772">
        <v>4</v>
      </c>
      <c r="E772" s="24">
        <v>171135523300</v>
      </c>
      <c r="F772">
        <f t="shared" si="12"/>
        <v>2.9</v>
      </c>
    </row>
    <row r="773" spans="1:6" x14ac:dyDescent="0.3">
      <c r="A773" t="s">
        <v>10</v>
      </c>
      <c r="B773" t="s">
        <v>5</v>
      </c>
      <c r="C773">
        <v>1</v>
      </c>
      <c r="D773">
        <v>4</v>
      </c>
      <c r="E773" s="24">
        <v>167363768000</v>
      </c>
      <c r="F773">
        <f t="shared" si="12"/>
        <v>2.8</v>
      </c>
    </row>
    <row r="774" spans="1:6" x14ac:dyDescent="0.3">
      <c r="A774" t="s">
        <v>10</v>
      </c>
      <c r="B774" t="s">
        <v>5</v>
      </c>
      <c r="C774">
        <v>0</v>
      </c>
      <c r="D774">
        <v>4</v>
      </c>
      <c r="E774" s="24">
        <v>446909573600</v>
      </c>
      <c r="F774">
        <f t="shared" si="12"/>
        <v>7.4</v>
      </c>
    </row>
    <row r="775" spans="1:6" x14ac:dyDescent="0.3">
      <c r="A775" t="s">
        <v>10</v>
      </c>
      <c r="B775" t="s">
        <v>5</v>
      </c>
      <c r="C775">
        <v>1</v>
      </c>
      <c r="D775">
        <v>4</v>
      </c>
      <c r="E775" s="24">
        <v>494801897200</v>
      </c>
      <c r="F775">
        <f t="shared" si="12"/>
        <v>8.1999999999999993</v>
      </c>
    </row>
    <row r="776" spans="1:6" x14ac:dyDescent="0.3">
      <c r="A776" t="s">
        <v>10</v>
      </c>
      <c r="B776" t="s">
        <v>5</v>
      </c>
      <c r="C776">
        <v>0</v>
      </c>
      <c r="D776">
        <v>4</v>
      </c>
      <c r="E776" s="24">
        <v>2051473481200</v>
      </c>
      <c r="F776">
        <f t="shared" si="12"/>
        <v>34.200000000000003</v>
      </c>
    </row>
    <row r="777" spans="1:6" x14ac:dyDescent="0.3">
      <c r="A777" t="s">
        <v>10</v>
      </c>
      <c r="B777" t="s">
        <v>5</v>
      </c>
      <c r="C777">
        <v>1</v>
      </c>
      <c r="D777">
        <v>4</v>
      </c>
      <c r="E777" s="24">
        <v>269363038300</v>
      </c>
      <c r="F777">
        <f t="shared" si="12"/>
        <v>4.5</v>
      </c>
    </row>
    <row r="778" spans="1:6" x14ac:dyDescent="0.3">
      <c r="A778" t="s">
        <v>10</v>
      </c>
      <c r="B778" t="s">
        <v>5</v>
      </c>
      <c r="C778">
        <v>0</v>
      </c>
      <c r="D778">
        <v>4</v>
      </c>
      <c r="E778" s="24">
        <v>428473054200</v>
      </c>
      <c r="F778">
        <f t="shared" si="12"/>
        <v>7.1</v>
      </c>
    </row>
    <row r="779" spans="1:6" x14ac:dyDescent="0.3">
      <c r="A779" t="s">
        <v>10</v>
      </c>
      <c r="B779" t="s">
        <v>5</v>
      </c>
      <c r="C779">
        <v>0</v>
      </c>
      <c r="D779">
        <v>4</v>
      </c>
      <c r="E779" s="24">
        <v>518773326800</v>
      </c>
      <c r="F779">
        <f t="shared" si="12"/>
        <v>8.6</v>
      </c>
    </row>
    <row r="780" spans="1:6" x14ac:dyDescent="0.3">
      <c r="A780" t="s">
        <v>10</v>
      </c>
      <c r="B780" t="s">
        <v>5</v>
      </c>
      <c r="C780">
        <v>1</v>
      </c>
      <c r="D780">
        <v>4</v>
      </c>
      <c r="E780" s="24">
        <v>527481479500</v>
      </c>
      <c r="F780">
        <f t="shared" si="12"/>
        <v>8.8000000000000007</v>
      </c>
    </row>
    <row r="781" spans="1:6" x14ac:dyDescent="0.3">
      <c r="A781" t="s">
        <v>10</v>
      </c>
      <c r="B781" t="s">
        <v>5</v>
      </c>
      <c r="C781">
        <v>1</v>
      </c>
      <c r="D781">
        <v>4</v>
      </c>
      <c r="E781" s="24">
        <v>625050769700</v>
      </c>
      <c r="F781">
        <f t="shared" si="12"/>
        <v>10.4</v>
      </c>
    </row>
    <row r="782" spans="1:6" x14ac:dyDescent="0.3">
      <c r="A782" t="s">
        <v>10</v>
      </c>
      <c r="B782" t="s">
        <v>1</v>
      </c>
      <c r="C782">
        <v>0</v>
      </c>
      <c r="D782">
        <v>4</v>
      </c>
      <c r="E782" s="24">
        <v>1503362599</v>
      </c>
      <c r="F782">
        <f t="shared" si="12"/>
        <v>0</v>
      </c>
    </row>
    <row r="783" spans="1:6" x14ac:dyDescent="0.3">
      <c r="A783" t="s">
        <v>10</v>
      </c>
      <c r="B783" t="s">
        <v>1</v>
      </c>
      <c r="C783">
        <v>1</v>
      </c>
      <c r="D783">
        <v>4</v>
      </c>
      <c r="E783" s="24">
        <v>1320852700</v>
      </c>
      <c r="F783">
        <f t="shared" si="12"/>
        <v>0</v>
      </c>
    </row>
    <row r="784" spans="1:6" x14ac:dyDescent="0.3">
      <c r="A784" t="s">
        <v>10</v>
      </c>
      <c r="B784" t="s">
        <v>1</v>
      </c>
      <c r="C784">
        <v>0</v>
      </c>
      <c r="D784">
        <v>4</v>
      </c>
      <c r="E784" s="24">
        <v>1461805800</v>
      </c>
      <c r="F784">
        <f t="shared" si="12"/>
        <v>0</v>
      </c>
    </row>
    <row r="785" spans="1:6" x14ac:dyDescent="0.3">
      <c r="A785" t="s">
        <v>10</v>
      </c>
      <c r="B785" t="s">
        <v>1</v>
      </c>
      <c r="C785">
        <v>1</v>
      </c>
      <c r="D785">
        <v>4</v>
      </c>
      <c r="E785" s="24">
        <v>3442530700</v>
      </c>
      <c r="F785">
        <f t="shared" si="12"/>
        <v>0.1</v>
      </c>
    </row>
    <row r="786" spans="1:6" x14ac:dyDescent="0.3">
      <c r="A786" t="s">
        <v>10</v>
      </c>
      <c r="B786" t="s">
        <v>1</v>
      </c>
      <c r="C786">
        <v>0</v>
      </c>
      <c r="D786">
        <v>4</v>
      </c>
      <c r="E786" s="24">
        <v>688447400</v>
      </c>
      <c r="F786">
        <f t="shared" si="12"/>
        <v>0</v>
      </c>
    </row>
    <row r="787" spans="1:6" x14ac:dyDescent="0.3">
      <c r="A787" t="s">
        <v>10</v>
      </c>
      <c r="B787" t="s">
        <v>1</v>
      </c>
      <c r="C787">
        <v>0</v>
      </c>
      <c r="D787">
        <v>4</v>
      </c>
      <c r="E787" s="24">
        <v>3491796500</v>
      </c>
      <c r="F787">
        <f t="shared" si="12"/>
        <v>0.1</v>
      </c>
    </row>
    <row r="788" spans="1:6" x14ac:dyDescent="0.3">
      <c r="A788" t="s">
        <v>10</v>
      </c>
      <c r="B788" t="s">
        <v>2</v>
      </c>
      <c r="C788">
        <v>1</v>
      </c>
      <c r="D788">
        <v>4</v>
      </c>
      <c r="E788" s="24">
        <v>225703600</v>
      </c>
      <c r="F788">
        <f t="shared" si="12"/>
        <v>0</v>
      </c>
    </row>
    <row r="789" spans="1:6" x14ac:dyDescent="0.3">
      <c r="A789" t="s">
        <v>10</v>
      </c>
      <c r="B789" t="s">
        <v>2</v>
      </c>
      <c r="C789">
        <v>1</v>
      </c>
      <c r="D789">
        <v>4</v>
      </c>
      <c r="E789" s="24">
        <v>527727200</v>
      </c>
      <c r="F789">
        <f t="shared" si="12"/>
        <v>0</v>
      </c>
    </row>
    <row r="790" spans="1:6" x14ac:dyDescent="0.3">
      <c r="A790" t="s">
        <v>10</v>
      </c>
      <c r="B790" t="s">
        <v>2</v>
      </c>
      <c r="C790">
        <v>1</v>
      </c>
      <c r="D790">
        <v>4</v>
      </c>
      <c r="E790" s="24">
        <v>1024989000</v>
      </c>
      <c r="F790">
        <f t="shared" si="12"/>
        <v>0</v>
      </c>
    </row>
    <row r="791" spans="1:6" x14ac:dyDescent="0.3">
      <c r="A791" t="s">
        <v>10</v>
      </c>
      <c r="B791" t="s">
        <v>2</v>
      </c>
      <c r="C791">
        <v>1</v>
      </c>
      <c r="D791">
        <v>4</v>
      </c>
      <c r="E791" s="24">
        <v>671332200</v>
      </c>
      <c r="F791">
        <f t="shared" si="12"/>
        <v>0</v>
      </c>
    </row>
    <row r="792" spans="1:6" x14ac:dyDescent="0.3">
      <c r="A792" t="s">
        <v>10</v>
      </c>
      <c r="B792" t="s">
        <v>2</v>
      </c>
      <c r="C792">
        <v>1</v>
      </c>
      <c r="D792">
        <v>4</v>
      </c>
      <c r="E792" s="24">
        <v>2132099700</v>
      </c>
      <c r="F792">
        <f t="shared" si="12"/>
        <v>0</v>
      </c>
    </row>
    <row r="793" spans="1:6" x14ac:dyDescent="0.3">
      <c r="A793" t="s">
        <v>4</v>
      </c>
      <c r="B793" t="s">
        <v>3</v>
      </c>
      <c r="C793">
        <v>0</v>
      </c>
      <c r="D793">
        <v>6</v>
      </c>
      <c r="E793" s="24">
        <v>125541736500</v>
      </c>
      <c r="F793">
        <f t="shared" si="12"/>
        <v>2.1</v>
      </c>
    </row>
    <row r="794" spans="1:6" x14ac:dyDescent="0.3">
      <c r="A794" t="s">
        <v>4</v>
      </c>
      <c r="B794" t="s">
        <v>3</v>
      </c>
      <c r="C794">
        <v>1</v>
      </c>
      <c r="D794">
        <v>6</v>
      </c>
      <c r="E794" s="24">
        <v>735526231900</v>
      </c>
      <c r="F794">
        <f t="shared" si="12"/>
        <v>12.3</v>
      </c>
    </row>
    <row r="795" spans="1:6" x14ac:dyDescent="0.3">
      <c r="A795" t="s">
        <v>4</v>
      </c>
      <c r="B795" t="s">
        <v>3</v>
      </c>
      <c r="C795">
        <v>1</v>
      </c>
      <c r="D795">
        <v>6</v>
      </c>
      <c r="E795" s="24">
        <v>587682418800</v>
      </c>
      <c r="F795">
        <f t="shared" si="12"/>
        <v>9.8000000000000007</v>
      </c>
    </row>
    <row r="796" spans="1:6" x14ac:dyDescent="0.3">
      <c r="A796" t="s">
        <v>4</v>
      </c>
      <c r="B796" t="s">
        <v>3</v>
      </c>
      <c r="C796">
        <v>0</v>
      </c>
      <c r="D796">
        <v>6</v>
      </c>
      <c r="E796" s="24">
        <v>1143934660600</v>
      </c>
      <c r="F796">
        <f t="shared" si="12"/>
        <v>19.100000000000001</v>
      </c>
    </row>
    <row r="797" spans="1:6" x14ac:dyDescent="0.3">
      <c r="A797" t="s">
        <v>4</v>
      </c>
      <c r="B797" t="s">
        <v>5</v>
      </c>
      <c r="C797">
        <v>0</v>
      </c>
      <c r="D797">
        <v>6</v>
      </c>
      <c r="E797" s="24">
        <v>469754923200</v>
      </c>
      <c r="F797">
        <f t="shared" si="12"/>
        <v>7.8</v>
      </c>
    </row>
    <row r="798" spans="1:6" x14ac:dyDescent="0.3">
      <c r="A798" t="s">
        <v>4</v>
      </c>
      <c r="B798" t="s">
        <v>5</v>
      </c>
      <c r="C798">
        <v>0</v>
      </c>
      <c r="D798">
        <v>6</v>
      </c>
      <c r="E798" s="24">
        <v>385432267800</v>
      </c>
      <c r="F798">
        <f t="shared" si="12"/>
        <v>6.4</v>
      </c>
    </row>
    <row r="799" spans="1:6" x14ac:dyDescent="0.3">
      <c r="A799" t="s">
        <v>4</v>
      </c>
      <c r="B799" t="s">
        <v>5</v>
      </c>
      <c r="C799">
        <v>0</v>
      </c>
      <c r="D799">
        <v>6</v>
      </c>
      <c r="E799" s="24">
        <v>472307211500</v>
      </c>
      <c r="F799">
        <f t="shared" si="12"/>
        <v>7.9</v>
      </c>
    </row>
    <row r="800" spans="1:6" x14ac:dyDescent="0.3">
      <c r="A800" t="s">
        <v>4</v>
      </c>
      <c r="B800" t="s">
        <v>5</v>
      </c>
      <c r="C800">
        <v>0</v>
      </c>
      <c r="D800">
        <v>6</v>
      </c>
      <c r="E800" s="24">
        <v>426351297100</v>
      </c>
      <c r="F800">
        <f t="shared" si="12"/>
        <v>7.1</v>
      </c>
    </row>
    <row r="801" spans="1:6" x14ac:dyDescent="0.3">
      <c r="A801" t="s">
        <v>4</v>
      </c>
      <c r="B801" t="s">
        <v>5</v>
      </c>
      <c r="C801">
        <v>0</v>
      </c>
      <c r="D801">
        <v>6</v>
      </c>
      <c r="E801" s="24">
        <v>456345155100</v>
      </c>
      <c r="F801">
        <f t="shared" si="12"/>
        <v>7.6</v>
      </c>
    </row>
    <row r="802" spans="1:6" x14ac:dyDescent="0.3">
      <c r="A802" t="s">
        <v>4</v>
      </c>
      <c r="B802" t="s">
        <v>5</v>
      </c>
      <c r="C802">
        <v>0</v>
      </c>
      <c r="D802">
        <v>6</v>
      </c>
      <c r="E802" s="24">
        <v>514811839200</v>
      </c>
      <c r="F802">
        <f t="shared" si="12"/>
        <v>8.6</v>
      </c>
    </row>
    <row r="803" spans="1:6" x14ac:dyDescent="0.3">
      <c r="A803" t="s">
        <v>4</v>
      </c>
      <c r="B803" t="s">
        <v>5</v>
      </c>
      <c r="C803">
        <v>1</v>
      </c>
      <c r="D803">
        <v>6</v>
      </c>
      <c r="E803" s="24">
        <v>513427541500</v>
      </c>
      <c r="F803">
        <f t="shared" si="12"/>
        <v>8.6</v>
      </c>
    </row>
    <row r="804" spans="1:6" x14ac:dyDescent="0.3">
      <c r="A804" t="s">
        <v>4</v>
      </c>
      <c r="B804" t="s">
        <v>5</v>
      </c>
      <c r="C804">
        <v>1</v>
      </c>
      <c r="D804">
        <v>6</v>
      </c>
      <c r="E804" s="24">
        <v>576160495100</v>
      </c>
      <c r="F804">
        <f t="shared" si="12"/>
        <v>9.6</v>
      </c>
    </row>
    <row r="805" spans="1:6" x14ac:dyDescent="0.3">
      <c r="A805" t="s">
        <v>4</v>
      </c>
      <c r="B805" t="s">
        <v>5</v>
      </c>
      <c r="C805">
        <v>1</v>
      </c>
      <c r="D805">
        <v>6</v>
      </c>
      <c r="E805" s="24">
        <v>644012247500</v>
      </c>
      <c r="F805">
        <f t="shared" si="12"/>
        <v>10.7</v>
      </c>
    </row>
    <row r="806" spans="1:6" x14ac:dyDescent="0.3">
      <c r="A806" t="s">
        <v>4</v>
      </c>
      <c r="B806" t="s">
        <v>5</v>
      </c>
      <c r="C806">
        <v>0</v>
      </c>
      <c r="D806">
        <v>6</v>
      </c>
      <c r="E806" s="24">
        <v>1540866642700</v>
      </c>
      <c r="F806">
        <f t="shared" si="12"/>
        <v>25.7</v>
      </c>
    </row>
    <row r="807" spans="1:6" x14ac:dyDescent="0.3">
      <c r="A807" t="s">
        <v>4</v>
      </c>
      <c r="B807" t="s">
        <v>5</v>
      </c>
      <c r="C807">
        <v>1</v>
      </c>
      <c r="D807">
        <v>6</v>
      </c>
      <c r="E807" s="24">
        <v>1814349264100</v>
      </c>
      <c r="F807">
        <f t="shared" si="12"/>
        <v>30.2</v>
      </c>
    </row>
    <row r="808" spans="1:6" x14ac:dyDescent="0.3">
      <c r="A808" t="s">
        <v>4</v>
      </c>
      <c r="B808" t="s">
        <v>5</v>
      </c>
      <c r="C808">
        <v>0</v>
      </c>
      <c r="D808">
        <v>6</v>
      </c>
      <c r="E808" s="24">
        <v>2208686016100</v>
      </c>
      <c r="F808">
        <f t="shared" si="12"/>
        <v>36.799999999999997</v>
      </c>
    </row>
    <row r="809" spans="1:6" x14ac:dyDescent="0.3">
      <c r="A809" t="s">
        <v>4</v>
      </c>
      <c r="B809" t="s">
        <v>1</v>
      </c>
      <c r="C809">
        <v>0</v>
      </c>
      <c r="D809">
        <v>6</v>
      </c>
      <c r="E809" s="24">
        <v>118322932500</v>
      </c>
      <c r="F809">
        <f t="shared" si="12"/>
        <v>2</v>
      </c>
    </row>
    <row r="810" spans="1:6" x14ac:dyDescent="0.3">
      <c r="A810" t="s">
        <v>4</v>
      </c>
      <c r="B810" t="s">
        <v>1</v>
      </c>
      <c r="C810">
        <v>0</v>
      </c>
      <c r="D810">
        <v>6</v>
      </c>
      <c r="E810" s="24">
        <v>399578477900</v>
      </c>
      <c r="F810">
        <f t="shared" si="12"/>
        <v>6.7</v>
      </c>
    </row>
    <row r="811" spans="1:6" x14ac:dyDescent="0.3">
      <c r="A811" t="s">
        <v>4</v>
      </c>
      <c r="B811" t="s">
        <v>1</v>
      </c>
      <c r="C811">
        <v>0</v>
      </c>
      <c r="D811">
        <v>6</v>
      </c>
      <c r="E811" s="24">
        <v>622576570100</v>
      </c>
      <c r="F811">
        <f t="shared" si="12"/>
        <v>10.4</v>
      </c>
    </row>
    <row r="812" spans="1:6" x14ac:dyDescent="0.3">
      <c r="A812" t="s">
        <v>4</v>
      </c>
      <c r="B812" t="s">
        <v>1</v>
      </c>
      <c r="C812">
        <v>0</v>
      </c>
      <c r="D812">
        <v>6</v>
      </c>
      <c r="E812" s="24">
        <v>456431027100</v>
      </c>
      <c r="F812">
        <f t="shared" si="12"/>
        <v>7.6</v>
      </c>
    </row>
    <row r="813" spans="1:6" x14ac:dyDescent="0.3">
      <c r="A813" t="s">
        <v>4</v>
      </c>
      <c r="B813" t="s">
        <v>1</v>
      </c>
      <c r="C813">
        <v>0</v>
      </c>
      <c r="D813">
        <v>6</v>
      </c>
      <c r="E813" s="24">
        <v>1099783998700</v>
      </c>
      <c r="F813">
        <f t="shared" si="12"/>
        <v>18.3</v>
      </c>
    </row>
    <row r="814" spans="1:6" x14ac:dyDescent="0.3">
      <c r="A814" t="s">
        <v>4</v>
      </c>
      <c r="B814" t="s">
        <v>2</v>
      </c>
      <c r="C814">
        <v>1</v>
      </c>
      <c r="D814">
        <v>6</v>
      </c>
      <c r="E814" s="24">
        <v>120208962500</v>
      </c>
      <c r="F814">
        <f t="shared" si="12"/>
        <v>2</v>
      </c>
    </row>
    <row r="815" spans="1:6" x14ac:dyDescent="0.3">
      <c r="A815" t="s">
        <v>4</v>
      </c>
      <c r="B815" t="s">
        <v>2</v>
      </c>
      <c r="C815">
        <v>1</v>
      </c>
      <c r="D815">
        <v>6</v>
      </c>
      <c r="E815" s="24">
        <v>369190987700</v>
      </c>
      <c r="F815">
        <f t="shared" si="12"/>
        <v>6.2</v>
      </c>
    </row>
    <row r="816" spans="1:6" x14ac:dyDescent="0.3">
      <c r="A816" t="s">
        <v>4</v>
      </c>
      <c r="B816" t="s">
        <v>2</v>
      </c>
      <c r="C816">
        <v>0</v>
      </c>
      <c r="D816">
        <v>6</v>
      </c>
      <c r="E816" s="24">
        <v>628652510600</v>
      </c>
      <c r="F816">
        <f t="shared" si="12"/>
        <v>10.5</v>
      </c>
    </row>
    <row r="817" spans="1:6" x14ac:dyDescent="0.3">
      <c r="A817" t="s">
        <v>4</v>
      </c>
      <c r="B817" t="s">
        <v>2</v>
      </c>
      <c r="C817">
        <v>1</v>
      </c>
      <c r="D817">
        <v>6</v>
      </c>
      <c r="E817" s="24">
        <v>646660307400</v>
      </c>
      <c r="F817">
        <f t="shared" si="12"/>
        <v>10.8</v>
      </c>
    </row>
    <row r="818" spans="1:6" x14ac:dyDescent="0.3">
      <c r="A818" t="s">
        <v>4</v>
      </c>
      <c r="B818" t="s">
        <v>2</v>
      </c>
      <c r="C818">
        <v>1</v>
      </c>
      <c r="D818">
        <v>6</v>
      </c>
      <c r="E818" s="24">
        <v>996289844100</v>
      </c>
      <c r="F818">
        <f t="shared" si="12"/>
        <v>16.600000000000001</v>
      </c>
    </row>
    <row r="819" spans="1:6" x14ac:dyDescent="0.3">
      <c r="A819" t="s">
        <v>4</v>
      </c>
      <c r="B819" t="s">
        <v>10</v>
      </c>
      <c r="C819">
        <v>1</v>
      </c>
      <c r="D819">
        <v>6</v>
      </c>
      <c r="E819" s="24">
        <v>133481643200</v>
      </c>
      <c r="F819">
        <f t="shared" si="12"/>
        <v>2.2000000000000002</v>
      </c>
    </row>
    <row r="820" spans="1:6" x14ac:dyDescent="0.3">
      <c r="A820" t="s">
        <v>4</v>
      </c>
      <c r="B820" t="s">
        <v>10</v>
      </c>
      <c r="C820">
        <v>1</v>
      </c>
      <c r="D820">
        <v>6</v>
      </c>
      <c r="E820" s="24">
        <v>611089567900</v>
      </c>
      <c r="F820">
        <f t="shared" si="12"/>
        <v>10.199999999999999</v>
      </c>
    </row>
    <row r="821" spans="1:6" x14ac:dyDescent="0.3">
      <c r="A821" t="s">
        <v>4</v>
      </c>
      <c r="B821" t="s">
        <v>10</v>
      </c>
      <c r="C821">
        <v>1</v>
      </c>
      <c r="D821">
        <v>6</v>
      </c>
      <c r="E821" s="24">
        <v>618606106800</v>
      </c>
      <c r="F821">
        <f t="shared" si="12"/>
        <v>10.3</v>
      </c>
    </row>
    <row r="822" spans="1:6" x14ac:dyDescent="0.3">
      <c r="A822" t="s">
        <v>4</v>
      </c>
      <c r="B822" t="s">
        <v>10</v>
      </c>
      <c r="C822">
        <v>1</v>
      </c>
      <c r="D822">
        <v>6</v>
      </c>
      <c r="E822" s="24">
        <v>1086974700900</v>
      </c>
      <c r="F822">
        <f t="shared" si="12"/>
        <v>18.100000000000001</v>
      </c>
    </row>
    <row r="823" spans="1:6" x14ac:dyDescent="0.3">
      <c r="A823" t="s">
        <v>3</v>
      </c>
      <c r="B823" t="s">
        <v>4</v>
      </c>
      <c r="C823">
        <v>1</v>
      </c>
      <c r="D823">
        <v>6</v>
      </c>
      <c r="E823" s="24">
        <v>143458758100</v>
      </c>
      <c r="F823">
        <f t="shared" si="12"/>
        <v>2.4</v>
      </c>
    </row>
    <row r="824" spans="1:6" x14ac:dyDescent="0.3">
      <c r="A824" t="s">
        <v>3</v>
      </c>
      <c r="B824" t="s">
        <v>4</v>
      </c>
      <c r="C824">
        <v>1</v>
      </c>
      <c r="D824">
        <v>6</v>
      </c>
      <c r="E824" s="24">
        <v>601372028900</v>
      </c>
      <c r="F824">
        <f t="shared" si="12"/>
        <v>10</v>
      </c>
    </row>
    <row r="825" spans="1:6" x14ac:dyDescent="0.3">
      <c r="A825" t="s">
        <v>3</v>
      </c>
      <c r="B825" t="s">
        <v>4</v>
      </c>
      <c r="C825">
        <v>1</v>
      </c>
      <c r="D825">
        <v>6</v>
      </c>
      <c r="E825" s="24">
        <v>519367718400</v>
      </c>
      <c r="F825">
        <f t="shared" si="12"/>
        <v>8.6999999999999993</v>
      </c>
    </row>
    <row r="826" spans="1:6" x14ac:dyDescent="0.3">
      <c r="A826" t="s">
        <v>3</v>
      </c>
      <c r="B826" t="s">
        <v>4</v>
      </c>
      <c r="C826">
        <v>1</v>
      </c>
      <c r="D826">
        <v>6</v>
      </c>
      <c r="E826" s="24">
        <v>859784858900</v>
      </c>
      <c r="F826">
        <f t="shared" si="12"/>
        <v>14.3</v>
      </c>
    </row>
    <row r="827" spans="1:6" x14ac:dyDescent="0.3">
      <c r="A827" t="s">
        <v>3</v>
      </c>
      <c r="B827" t="s">
        <v>4</v>
      </c>
      <c r="C827">
        <v>1</v>
      </c>
      <c r="D827">
        <v>6</v>
      </c>
      <c r="E827" s="24">
        <v>1521462802100</v>
      </c>
      <c r="F827">
        <f t="shared" si="12"/>
        <v>25.4</v>
      </c>
    </row>
    <row r="828" spans="1:6" x14ac:dyDescent="0.3">
      <c r="A828" t="s">
        <v>3</v>
      </c>
      <c r="B828" t="s">
        <v>5</v>
      </c>
      <c r="C828">
        <v>1</v>
      </c>
      <c r="D828">
        <v>6</v>
      </c>
      <c r="E828" s="24">
        <v>972284363600</v>
      </c>
      <c r="F828">
        <f t="shared" si="12"/>
        <v>16.2</v>
      </c>
    </row>
    <row r="829" spans="1:6" x14ac:dyDescent="0.3">
      <c r="A829" t="s">
        <v>3</v>
      </c>
      <c r="B829" t="s">
        <v>5</v>
      </c>
      <c r="C829">
        <v>1</v>
      </c>
      <c r="D829">
        <v>6</v>
      </c>
      <c r="E829" s="24">
        <v>1249522571600</v>
      </c>
      <c r="F829">
        <f t="shared" si="12"/>
        <v>20.8</v>
      </c>
    </row>
    <row r="830" spans="1:6" x14ac:dyDescent="0.3">
      <c r="A830" t="s">
        <v>3</v>
      </c>
      <c r="B830" t="s">
        <v>5</v>
      </c>
      <c r="C830">
        <v>1</v>
      </c>
      <c r="D830">
        <v>6</v>
      </c>
      <c r="E830" s="24">
        <v>1099047363100</v>
      </c>
      <c r="F830">
        <f t="shared" si="12"/>
        <v>18.3</v>
      </c>
    </row>
    <row r="831" spans="1:6" x14ac:dyDescent="0.3">
      <c r="A831" t="s">
        <v>3</v>
      </c>
      <c r="B831" t="s">
        <v>5</v>
      </c>
      <c r="C831">
        <v>1</v>
      </c>
      <c r="D831">
        <v>6</v>
      </c>
      <c r="E831" s="24">
        <v>1093493221400</v>
      </c>
      <c r="F831">
        <f t="shared" si="12"/>
        <v>18.2</v>
      </c>
    </row>
    <row r="832" spans="1:6" x14ac:dyDescent="0.3">
      <c r="A832" t="s">
        <v>3</v>
      </c>
      <c r="B832" t="s">
        <v>5</v>
      </c>
      <c r="C832">
        <v>1</v>
      </c>
      <c r="D832">
        <v>6</v>
      </c>
      <c r="E832" s="24">
        <v>1259900641300</v>
      </c>
      <c r="F832">
        <f t="shared" si="12"/>
        <v>21</v>
      </c>
    </row>
    <row r="833" spans="1:6" x14ac:dyDescent="0.3">
      <c r="A833" t="s">
        <v>3</v>
      </c>
      <c r="B833" t="s">
        <v>5</v>
      </c>
      <c r="C833">
        <v>0</v>
      </c>
      <c r="D833">
        <v>6</v>
      </c>
      <c r="E833" s="24">
        <v>1048393643700</v>
      </c>
      <c r="F833">
        <f t="shared" si="12"/>
        <v>17.5</v>
      </c>
    </row>
    <row r="834" spans="1:6" x14ac:dyDescent="0.3">
      <c r="A834" t="s">
        <v>3</v>
      </c>
      <c r="B834" t="s">
        <v>5</v>
      </c>
      <c r="C834">
        <v>1</v>
      </c>
      <c r="D834">
        <v>6</v>
      </c>
      <c r="E834" s="24">
        <v>1148773141700</v>
      </c>
      <c r="F834">
        <f t="shared" ref="F834:F897" si="13">ROUND(E834/60000000000, 1)</f>
        <v>19.100000000000001</v>
      </c>
    </row>
    <row r="835" spans="1:6" x14ac:dyDescent="0.3">
      <c r="A835" t="s">
        <v>3</v>
      </c>
      <c r="B835" t="s">
        <v>5</v>
      </c>
      <c r="C835">
        <v>1</v>
      </c>
      <c r="D835">
        <v>6</v>
      </c>
      <c r="E835" s="24">
        <v>348662499800</v>
      </c>
      <c r="F835">
        <f t="shared" si="13"/>
        <v>5.8</v>
      </c>
    </row>
    <row r="836" spans="1:6" x14ac:dyDescent="0.3">
      <c r="A836" t="s">
        <v>3</v>
      </c>
      <c r="B836" t="s">
        <v>5</v>
      </c>
      <c r="C836">
        <v>1</v>
      </c>
      <c r="D836">
        <v>6</v>
      </c>
      <c r="E836" s="24">
        <v>350217549499</v>
      </c>
      <c r="F836">
        <f t="shared" si="13"/>
        <v>5.8</v>
      </c>
    </row>
    <row r="837" spans="1:6" x14ac:dyDescent="0.3">
      <c r="A837" t="s">
        <v>3</v>
      </c>
      <c r="B837" t="s">
        <v>5</v>
      </c>
      <c r="C837">
        <v>1</v>
      </c>
      <c r="D837">
        <v>6</v>
      </c>
      <c r="E837" s="24">
        <v>395229067200</v>
      </c>
      <c r="F837">
        <f t="shared" si="13"/>
        <v>6.6</v>
      </c>
    </row>
    <row r="838" spans="1:6" x14ac:dyDescent="0.3">
      <c r="A838" t="s">
        <v>3</v>
      </c>
      <c r="B838" t="s">
        <v>5</v>
      </c>
      <c r="C838">
        <v>1</v>
      </c>
      <c r="D838">
        <v>6</v>
      </c>
      <c r="E838" s="24">
        <v>535427236000</v>
      </c>
      <c r="F838">
        <f t="shared" si="13"/>
        <v>8.9</v>
      </c>
    </row>
    <row r="839" spans="1:6" x14ac:dyDescent="0.3">
      <c r="A839" t="s">
        <v>3</v>
      </c>
      <c r="B839" t="s">
        <v>5</v>
      </c>
      <c r="C839">
        <v>1</v>
      </c>
      <c r="D839">
        <v>6</v>
      </c>
      <c r="E839" s="24">
        <v>439362294800</v>
      </c>
      <c r="F839">
        <f t="shared" si="13"/>
        <v>7.3</v>
      </c>
    </row>
    <row r="840" spans="1:6" x14ac:dyDescent="0.3">
      <c r="A840" t="s">
        <v>3</v>
      </c>
      <c r="B840" t="s">
        <v>5</v>
      </c>
      <c r="C840">
        <v>1</v>
      </c>
      <c r="D840">
        <v>6</v>
      </c>
      <c r="E840" s="24">
        <v>411294296300</v>
      </c>
      <c r="F840">
        <f t="shared" si="13"/>
        <v>6.9</v>
      </c>
    </row>
    <row r="841" spans="1:6" x14ac:dyDescent="0.3">
      <c r="A841" t="s">
        <v>3</v>
      </c>
      <c r="B841" t="s">
        <v>5</v>
      </c>
      <c r="C841">
        <v>1</v>
      </c>
      <c r="D841">
        <v>6</v>
      </c>
      <c r="E841" s="24">
        <v>482746807300</v>
      </c>
      <c r="F841">
        <f t="shared" si="13"/>
        <v>8</v>
      </c>
    </row>
    <row r="842" spans="1:6" x14ac:dyDescent="0.3">
      <c r="A842" t="s">
        <v>3</v>
      </c>
      <c r="B842" t="s">
        <v>5</v>
      </c>
      <c r="C842">
        <v>1</v>
      </c>
      <c r="D842">
        <v>6</v>
      </c>
      <c r="E842" s="24">
        <v>383793111700</v>
      </c>
      <c r="F842">
        <f t="shared" si="13"/>
        <v>6.4</v>
      </c>
    </row>
    <row r="843" spans="1:6" x14ac:dyDescent="0.3">
      <c r="A843" t="s">
        <v>3</v>
      </c>
      <c r="B843" t="s">
        <v>5</v>
      </c>
      <c r="C843">
        <v>1</v>
      </c>
      <c r="D843">
        <v>6</v>
      </c>
      <c r="E843" s="24">
        <v>1123984963600</v>
      </c>
      <c r="F843">
        <f t="shared" si="13"/>
        <v>18.7</v>
      </c>
    </row>
    <row r="844" spans="1:6" x14ac:dyDescent="0.3">
      <c r="A844" t="s">
        <v>3</v>
      </c>
      <c r="B844" t="s">
        <v>5</v>
      </c>
      <c r="C844">
        <v>1</v>
      </c>
      <c r="D844">
        <v>6</v>
      </c>
      <c r="E844" s="24">
        <v>1052143095500</v>
      </c>
      <c r="F844">
        <f t="shared" si="13"/>
        <v>17.5</v>
      </c>
    </row>
    <row r="845" spans="1:6" x14ac:dyDescent="0.3">
      <c r="A845" t="s">
        <v>3</v>
      </c>
      <c r="B845" t="s">
        <v>5</v>
      </c>
      <c r="C845">
        <v>1</v>
      </c>
      <c r="D845">
        <v>6</v>
      </c>
      <c r="E845" s="24">
        <v>2956701316700</v>
      </c>
      <c r="F845">
        <f t="shared" si="13"/>
        <v>49.3</v>
      </c>
    </row>
    <row r="846" spans="1:6" x14ac:dyDescent="0.3">
      <c r="A846" t="s">
        <v>3</v>
      </c>
      <c r="B846" t="s">
        <v>5</v>
      </c>
      <c r="C846">
        <v>1</v>
      </c>
      <c r="D846">
        <v>6</v>
      </c>
      <c r="E846" s="24">
        <v>872452690300</v>
      </c>
      <c r="F846">
        <f t="shared" si="13"/>
        <v>14.5</v>
      </c>
    </row>
    <row r="847" spans="1:6" x14ac:dyDescent="0.3">
      <c r="A847" t="s">
        <v>3</v>
      </c>
      <c r="B847" t="s">
        <v>5</v>
      </c>
      <c r="C847">
        <v>1</v>
      </c>
      <c r="D847">
        <v>6</v>
      </c>
      <c r="E847" s="24">
        <v>1129041287500</v>
      </c>
      <c r="F847">
        <f t="shared" si="13"/>
        <v>18.8</v>
      </c>
    </row>
    <row r="848" spans="1:6" x14ac:dyDescent="0.3">
      <c r="A848" t="s">
        <v>3</v>
      </c>
      <c r="B848" t="s">
        <v>5</v>
      </c>
      <c r="C848">
        <v>1</v>
      </c>
      <c r="D848">
        <v>6</v>
      </c>
      <c r="E848" s="24">
        <v>1402391711700</v>
      </c>
      <c r="F848">
        <f t="shared" si="13"/>
        <v>23.4</v>
      </c>
    </row>
    <row r="849" spans="1:6" x14ac:dyDescent="0.3">
      <c r="A849" t="s">
        <v>3</v>
      </c>
      <c r="B849" t="s">
        <v>5</v>
      </c>
      <c r="C849">
        <v>1</v>
      </c>
      <c r="D849">
        <v>6</v>
      </c>
      <c r="E849" s="24">
        <v>1454655936500</v>
      </c>
      <c r="F849">
        <f t="shared" si="13"/>
        <v>24.2</v>
      </c>
    </row>
    <row r="850" spans="1:6" x14ac:dyDescent="0.3">
      <c r="A850" t="s">
        <v>3</v>
      </c>
      <c r="B850" t="s">
        <v>5</v>
      </c>
      <c r="C850">
        <v>1</v>
      </c>
      <c r="D850">
        <v>6</v>
      </c>
      <c r="E850" s="24">
        <v>1883578595700</v>
      </c>
      <c r="F850">
        <f t="shared" si="13"/>
        <v>31.4</v>
      </c>
    </row>
    <row r="851" spans="1:6" x14ac:dyDescent="0.3">
      <c r="A851" t="s">
        <v>3</v>
      </c>
      <c r="B851" t="s">
        <v>1</v>
      </c>
      <c r="C851">
        <v>1</v>
      </c>
      <c r="D851">
        <v>6</v>
      </c>
      <c r="E851" s="24">
        <v>6832334000</v>
      </c>
      <c r="F851">
        <f t="shared" si="13"/>
        <v>0.1</v>
      </c>
    </row>
    <row r="852" spans="1:6" x14ac:dyDescent="0.3">
      <c r="A852" t="s">
        <v>3</v>
      </c>
      <c r="B852" t="s">
        <v>1</v>
      </c>
      <c r="C852">
        <v>1</v>
      </c>
      <c r="D852">
        <v>6</v>
      </c>
      <c r="E852" s="24">
        <v>2028869800</v>
      </c>
      <c r="F852">
        <f t="shared" si="13"/>
        <v>0</v>
      </c>
    </row>
    <row r="853" spans="1:6" x14ac:dyDescent="0.3">
      <c r="A853" t="s">
        <v>3</v>
      </c>
      <c r="B853" t="s">
        <v>1</v>
      </c>
      <c r="C853">
        <v>1</v>
      </c>
      <c r="D853">
        <v>6</v>
      </c>
      <c r="E853" s="24">
        <v>4591988900</v>
      </c>
      <c r="F853">
        <f t="shared" si="13"/>
        <v>0.1</v>
      </c>
    </row>
    <row r="854" spans="1:6" x14ac:dyDescent="0.3">
      <c r="A854" t="s">
        <v>3</v>
      </c>
      <c r="B854" t="s">
        <v>1</v>
      </c>
      <c r="C854">
        <v>1</v>
      </c>
      <c r="D854">
        <v>6</v>
      </c>
      <c r="E854" s="24">
        <v>4911196500</v>
      </c>
      <c r="F854">
        <f t="shared" si="13"/>
        <v>0.1</v>
      </c>
    </row>
    <row r="855" spans="1:6" x14ac:dyDescent="0.3">
      <c r="A855" t="s">
        <v>3</v>
      </c>
      <c r="B855" t="s">
        <v>1</v>
      </c>
      <c r="C855">
        <v>1</v>
      </c>
      <c r="D855">
        <v>6</v>
      </c>
      <c r="E855" s="24">
        <v>7152925000</v>
      </c>
      <c r="F855">
        <f t="shared" si="13"/>
        <v>0.1</v>
      </c>
    </row>
    <row r="856" spans="1:6" x14ac:dyDescent="0.3">
      <c r="A856" t="s">
        <v>3</v>
      </c>
      <c r="B856" t="s">
        <v>1</v>
      </c>
      <c r="C856">
        <v>1</v>
      </c>
      <c r="D856">
        <v>6</v>
      </c>
      <c r="E856" s="24">
        <v>8230746700</v>
      </c>
      <c r="F856">
        <f t="shared" si="13"/>
        <v>0.1</v>
      </c>
    </row>
    <row r="857" spans="1:6" x14ac:dyDescent="0.3">
      <c r="A857" t="s">
        <v>3</v>
      </c>
      <c r="B857" t="s">
        <v>2</v>
      </c>
      <c r="C857">
        <v>1</v>
      </c>
      <c r="D857">
        <v>6</v>
      </c>
      <c r="E857" s="24">
        <v>629672600</v>
      </c>
      <c r="F857">
        <f t="shared" si="13"/>
        <v>0</v>
      </c>
    </row>
    <row r="858" spans="1:6" x14ac:dyDescent="0.3">
      <c r="A858" t="s">
        <v>3</v>
      </c>
      <c r="B858" t="s">
        <v>2</v>
      </c>
      <c r="C858">
        <v>1</v>
      </c>
      <c r="D858">
        <v>6</v>
      </c>
      <c r="E858" s="24">
        <v>1875123100</v>
      </c>
      <c r="F858">
        <f t="shared" si="13"/>
        <v>0</v>
      </c>
    </row>
    <row r="859" spans="1:6" x14ac:dyDescent="0.3">
      <c r="A859" t="s">
        <v>3</v>
      </c>
      <c r="B859" t="s">
        <v>2</v>
      </c>
      <c r="C859">
        <v>1</v>
      </c>
      <c r="D859">
        <v>6</v>
      </c>
      <c r="E859" s="24">
        <v>3178625100</v>
      </c>
      <c r="F859">
        <f t="shared" si="13"/>
        <v>0.1</v>
      </c>
    </row>
    <row r="860" spans="1:6" x14ac:dyDescent="0.3">
      <c r="A860" t="s">
        <v>3</v>
      </c>
      <c r="B860" t="s">
        <v>2</v>
      </c>
      <c r="C860">
        <v>1</v>
      </c>
      <c r="D860">
        <v>6</v>
      </c>
      <c r="E860" s="24">
        <v>2126268300</v>
      </c>
      <c r="F860">
        <f t="shared" si="13"/>
        <v>0</v>
      </c>
    </row>
    <row r="861" spans="1:6" x14ac:dyDescent="0.3">
      <c r="A861" t="s">
        <v>3</v>
      </c>
      <c r="B861" t="s">
        <v>2</v>
      </c>
      <c r="C861">
        <v>1</v>
      </c>
      <c r="D861">
        <v>6</v>
      </c>
      <c r="E861" s="24">
        <v>3003244900</v>
      </c>
      <c r="F861">
        <f t="shared" si="13"/>
        <v>0.1</v>
      </c>
    </row>
    <row r="862" spans="1:6" x14ac:dyDescent="0.3">
      <c r="A862" t="s">
        <v>3</v>
      </c>
      <c r="B862" t="s">
        <v>10</v>
      </c>
      <c r="C862">
        <v>1</v>
      </c>
      <c r="D862">
        <v>6</v>
      </c>
      <c r="E862" s="24">
        <v>1261079200</v>
      </c>
      <c r="F862">
        <f t="shared" si="13"/>
        <v>0</v>
      </c>
    </row>
    <row r="863" spans="1:6" x14ac:dyDescent="0.3">
      <c r="A863" t="s">
        <v>3</v>
      </c>
      <c r="B863" t="s">
        <v>10</v>
      </c>
      <c r="C863">
        <v>1</v>
      </c>
      <c r="D863">
        <v>6</v>
      </c>
      <c r="E863" s="24">
        <v>471387000</v>
      </c>
      <c r="F863">
        <f t="shared" si="13"/>
        <v>0</v>
      </c>
    </row>
    <row r="864" spans="1:6" x14ac:dyDescent="0.3">
      <c r="A864" t="s">
        <v>3</v>
      </c>
      <c r="B864" t="s">
        <v>10</v>
      </c>
      <c r="C864">
        <v>1</v>
      </c>
      <c r="D864">
        <v>6</v>
      </c>
      <c r="E864" s="24">
        <v>1222387600</v>
      </c>
      <c r="F864">
        <f t="shared" si="13"/>
        <v>0</v>
      </c>
    </row>
    <row r="865" spans="1:6" x14ac:dyDescent="0.3">
      <c r="A865" t="s">
        <v>3</v>
      </c>
      <c r="B865" t="s">
        <v>10</v>
      </c>
      <c r="C865">
        <v>1</v>
      </c>
      <c r="D865">
        <v>6</v>
      </c>
      <c r="E865" s="24">
        <v>2376837300</v>
      </c>
      <c r="F865">
        <f t="shared" si="13"/>
        <v>0</v>
      </c>
    </row>
    <row r="866" spans="1:6" x14ac:dyDescent="0.3">
      <c r="A866" t="s">
        <v>3</v>
      </c>
      <c r="B866" t="s">
        <v>10</v>
      </c>
      <c r="C866">
        <v>1</v>
      </c>
      <c r="D866">
        <v>6</v>
      </c>
      <c r="E866" s="24">
        <v>1557529500</v>
      </c>
      <c r="F866">
        <f t="shared" si="13"/>
        <v>0</v>
      </c>
    </row>
    <row r="867" spans="1:6" x14ac:dyDescent="0.3">
      <c r="A867" t="s">
        <v>3</v>
      </c>
      <c r="B867" t="s">
        <v>10</v>
      </c>
      <c r="C867">
        <v>1</v>
      </c>
      <c r="D867">
        <v>6</v>
      </c>
      <c r="E867" s="24">
        <v>1513760900</v>
      </c>
      <c r="F867">
        <f t="shared" si="13"/>
        <v>0</v>
      </c>
    </row>
    <row r="868" spans="1:6" x14ac:dyDescent="0.3">
      <c r="A868" t="s">
        <v>5</v>
      </c>
      <c r="B868" t="s">
        <v>4</v>
      </c>
      <c r="C868">
        <v>1</v>
      </c>
      <c r="D868">
        <v>6</v>
      </c>
      <c r="E868" s="24">
        <v>410358845200</v>
      </c>
      <c r="F868">
        <f t="shared" si="13"/>
        <v>6.8</v>
      </c>
    </row>
    <row r="869" spans="1:6" x14ac:dyDescent="0.3">
      <c r="A869" t="s">
        <v>5</v>
      </c>
      <c r="B869" t="s">
        <v>4</v>
      </c>
      <c r="C869">
        <v>1</v>
      </c>
      <c r="D869">
        <v>6</v>
      </c>
      <c r="E869" s="24">
        <v>353450920600</v>
      </c>
      <c r="F869">
        <f t="shared" si="13"/>
        <v>5.9</v>
      </c>
    </row>
    <row r="870" spans="1:6" x14ac:dyDescent="0.3">
      <c r="A870" t="s">
        <v>5</v>
      </c>
      <c r="B870" t="s">
        <v>4</v>
      </c>
      <c r="C870">
        <v>1</v>
      </c>
      <c r="D870">
        <v>6</v>
      </c>
      <c r="E870" s="24">
        <v>434733841000</v>
      </c>
      <c r="F870">
        <f t="shared" si="13"/>
        <v>7.2</v>
      </c>
    </row>
    <row r="871" spans="1:6" x14ac:dyDescent="0.3">
      <c r="A871" t="s">
        <v>5</v>
      </c>
      <c r="B871" t="s">
        <v>4</v>
      </c>
      <c r="C871">
        <v>1</v>
      </c>
      <c r="D871">
        <v>6</v>
      </c>
      <c r="E871" s="24">
        <v>438098897100</v>
      </c>
      <c r="F871">
        <f t="shared" si="13"/>
        <v>7.3</v>
      </c>
    </row>
    <row r="872" spans="1:6" x14ac:dyDescent="0.3">
      <c r="A872" t="s">
        <v>5</v>
      </c>
      <c r="B872" t="s">
        <v>4</v>
      </c>
      <c r="C872">
        <v>1</v>
      </c>
      <c r="D872">
        <v>6</v>
      </c>
      <c r="E872" s="24">
        <v>460297189600</v>
      </c>
      <c r="F872">
        <f t="shared" si="13"/>
        <v>7.7</v>
      </c>
    </row>
    <row r="873" spans="1:6" x14ac:dyDescent="0.3">
      <c r="A873" t="s">
        <v>5</v>
      </c>
      <c r="B873" t="s">
        <v>4</v>
      </c>
      <c r="C873">
        <v>0</v>
      </c>
      <c r="D873">
        <v>6</v>
      </c>
      <c r="E873" s="24">
        <v>554002494100</v>
      </c>
      <c r="F873">
        <f t="shared" si="13"/>
        <v>9.1999999999999993</v>
      </c>
    </row>
    <row r="874" spans="1:6" x14ac:dyDescent="0.3">
      <c r="A874" t="s">
        <v>5</v>
      </c>
      <c r="B874" t="s">
        <v>4</v>
      </c>
      <c r="C874">
        <v>0</v>
      </c>
      <c r="D874">
        <v>6</v>
      </c>
      <c r="E874" s="24">
        <v>613686959600</v>
      </c>
      <c r="F874">
        <f t="shared" si="13"/>
        <v>10.199999999999999</v>
      </c>
    </row>
    <row r="875" spans="1:6" x14ac:dyDescent="0.3">
      <c r="A875" t="s">
        <v>5</v>
      </c>
      <c r="B875" t="s">
        <v>4</v>
      </c>
      <c r="C875">
        <v>0</v>
      </c>
      <c r="D875">
        <v>6</v>
      </c>
      <c r="E875" s="24">
        <v>557676122800</v>
      </c>
      <c r="F875">
        <f t="shared" si="13"/>
        <v>9.3000000000000007</v>
      </c>
    </row>
    <row r="876" spans="1:6" x14ac:dyDescent="0.3">
      <c r="A876" t="s">
        <v>5</v>
      </c>
      <c r="B876" t="s">
        <v>4</v>
      </c>
      <c r="C876">
        <v>0</v>
      </c>
      <c r="D876">
        <v>6</v>
      </c>
      <c r="E876" s="24">
        <v>571589675000</v>
      </c>
      <c r="F876">
        <f t="shared" si="13"/>
        <v>9.5</v>
      </c>
    </row>
    <row r="877" spans="1:6" x14ac:dyDescent="0.3">
      <c r="A877" t="s">
        <v>5</v>
      </c>
      <c r="B877" t="s">
        <v>4</v>
      </c>
      <c r="C877">
        <v>0</v>
      </c>
      <c r="D877">
        <v>6</v>
      </c>
      <c r="E877" s="24">
        <v>1433672011700</v>
      </c>
      <c r="F877">
        <f t="shared" si="13"/>
        <v>23.9</v>
      </c>
    </row>
    <row r="878" spans="1:6" x14ac:dyDescent="0.3">
      <c r="A878" t="s">
        <v>5</v>
      </c>
      <c r="B878" t="s">
        <v>4</v>
      </c>
      <c r="C878">
        <v>1</v>
      </c>
      <c r="D878">
        <v>6</v>
      </c>
      <c r="E878" s="24">
        <v>1432635460300</v>
      </c>
      <c r="F878">
        <f t="shared" si="13"/>
        <v>23.9</v>
      </c>
    </row>
    <row r="879" spans="1:6" x14ac:dyDescent="0.3">
      <c r="A879" t="s">
        <v>5</v>
      </c>
      <c r="B879" t="s">
        <v>4</v>
      </c>
      <c r="C879">
        <v>0</v>
      </c>
      <c r="D879">
        <v>6</v>
      </c>
      <c r="E879" s="24">
        <v>1991913954300</v>
      </c>
      <c r="F879">
        <f t="shared" si="13"/>
        <v>33.200000000000003</v>
      </c>
    </row>
    <row r="880" spans="1:6" x14ac:dyDescent="0.3">
      <c r="A880" t="s">
        <v>5</v>
      </c>
      <c r="B880" t="s">
        <v>4</v>
      </c>
      <c r="C880">
        <v>1</v>
      </c>
      <c r="D880">
        <v>6</v>
      </c>
      <c r="E880" s="24">
        <v>2245298436300</v>
      </c>
      <c r="F880">
        <f t="shared" si="13"/>
        <v>37.4</v>
      </c>
    </row>
    <row r="881" spans="1:6" x14ac:dyDescent="0.3">
      <c r="A881" t="s">
        <v>5</v>
      </c>
      <c r="B881" t="s">
        <v>3</v>
      </c>
      <c r="C881">
        <v>0</v>
      </c>
      <c r="D881">
        <v>6</v>
      </c>
      <c r="E881" s="24">
        <v>1456411069900</v>
      </c>
      <c r="F881">
        <f t="shared" si="13"/>
        <v>24.3</v>
      </c>
    </row>
    <row r="882" spans="1:6" x14ac:dyDescent="0.3">
      <c r="A882" t="s">
        <v>5</v>
      </c>
      <c r="B882" t="s">
        <v>3</v>
      </c>
      <c r="C882">
        <v>0</v>
      </c>
      <c r="D882">
        <v>6</v>
      </c>
      <c r="E882" s="24">
        <v>1271694109000</v>
      </c>
      <c r="F882">
        <f t="shared" si="13"/>
        <v>21.2</v>
      </c>
    </row>
    <row r="883" spans="1:6" x14ac:dyDescent="0.3">
      <c r="A883" t="s">
        <v>5</v>
      </c>
      <c r="B883" t="s">
        <v>3</v>
      </c>
      <c r="C883">
        <v>0</v>
      </c>
      <c r="D883">
        <v>6</v>
      </c>
      <c r="E883" s="24">
        <v>1163575096900</v>
      </c>
      <c r="F883">
        <f t="shared" si="13"/>
        <v>19.399999999999999</v>
      </c>
    </row>
    <row r="884" spans="1:6" x14ac:dyDescent="0.3">
      <c r="A884" t="s">
        <v>5</v>
      </c>
      <c r="B884" t="s">
        <v>3</v>
      </c>
      <c r="C884">
        <v>0</v>
      </c>
      <c r="D884">
        <v>6</v>
      </c>
      <c r="E884" s="24">
        <v>1206436207400</v>
      </c>
      <c r="F884">
        <f t="shared" si="13"/>
        <v>20.100000000000001</v>
      </c>
    </row>
    <row r="885" spans="1:6" x14ac:dyDescent="0.3">
      <c r="A885" t="s">
        <v>5</v>
      </c>
      <c r="B885" t="s">
        <v>3</v>
      </c>
      <c r="C885">
        <v>0</v>
      </c>
      <c r="D885">
        <v>6</v>
      </c>
      <c r="E885" s="24">
        <v>1246095975500</v>
      </c>
      <c r="F885">
        <f t="shared" si="13"/>
        <v>20.8</v>
      </c>
    </row>
    <row r="886" spans="1:6" x14ac:dyDescent="0.3">
      <c r="A886" t="s">
        <v>5</v>
      </c>
      <c r="B886" t="s">
        <v>3</v>
      </c>
      <c r="C886">
        <v>0</v>
      </c>
      <c r="D886">
        <v>6</v>
      </c>
      <c r="E886" s="24">
        <v>1279592050700</v>
      </c>
      <c r="F886">
        <f t="shared" si="13"/>
        <v>21.3</v>
      </c>
    </row>
    <row r="887" spans="1:6" x14ac:dyDescent="0.3">
      <c r="A887" t="s">
        <v>5</v>
      </c>
      <c r="B887" t="s">
        <v>3</v>
      </c>
      <c r="C887">
        <v>0</v>
      </c>
      <c r="D887">
        <v>6</v>
      </c>
      <c r="E887" s="24">
        <v>1475245810100</v>
      </c>
      <c r="F887">
        <f t="shared" si="13"/>
        <v>24.6</v>
      </c>
    </row>
    <row r="888" spans="1:6" x14ac:dyDescent="0.3">
      <c r="A888" t="s">
        <v>5</v>
      </c>
      <c r="B888" t="s">
        <v>3</v>
      </c>
      <c r="C888">
        <v>0</v>
      </c>
      <c r="D888">
        <v>6</v>
      </c>
      <c r="E888" s="24">
        <v>390692349600</v>
      </c>
      <c r="F888">
        <f t="shared" si="13"/>
        <v>6.5</v>
      </c>
    </row>
    <row r="889" spans="1:6" x14ac:dyDescent="0.3">
      <c r="A889" t="s">
        <v>5</v>
      </c>
      <c r="B889" t="s">
        <v>3</v>
      </c>
      <c r="C889">
        <v>0</v>
      </c>
      <c r="D889">
        <v>6</v>
      </c>
      <c r="E889" s="24">
        <v>327172292600</v>
      </c>
      <c r="F889">
        <f t="shared" si="13"/>
        <v>5.5</v>
      </c>
    </row>
    <row r="890" spans="1:6" x14ac:dyDescent="0.3">
      <c r="A890" t="s">
        <v>5</v>
      </c>
      <c r="B890" t="s">
        <v>3</v>
      </c>
      <c r="C890">
        <v>0</v>
      </c>
      <c r="D890">
        <v>6</v>
      </c>
      <c r="E890" s="24">
        <v>383696424499</v>
      </c>
      <c r="F890">
        <f t="shared" si="13"/>
        <v>6.4</v>
      </c>
    </row>
    <row r="891" spans="1:6" x14ac:dyDescent="0.3">
      <c r="A891" t="s">
        <v>5</v>
      </c>
      <c r="B891" t="s">
        <v>3</v>
      </c>
      <c r="C891">
        <v>0</v>
      </c>
      <c r="D891">
        <v>6</v>
      </c>
      <c r="E891" s="24">
        <v>369850191200</v>
      </c>
      <c r="F891">
        <f t="shared" si="13"/>
        <v>6.2</v>
      </c>
    </row>
    <row r="892" spans="1:6" x14ac:dyDescent="0.3">
      <c r="A892" t="s">
        <v>5</v>
      </c>
      <c r="B892" t="s">
        <v>3</v>
      </c>
      <c r="C892">
        <v>0</v>
      </c>
      <c r="D892">
        <v>6</v>
      </c>
      <c r="E892" s="24">
        <v>472376253300</v>
      </c>
      <c r="F892">
        <f t="shared" si="13"/>
        <v>7.9</v>
      </c>
    </row>
    <row r="893" spans="1:6" x14ac:dyDescent="0.3">
      <c r="A893" t="s">
        <v>5</v>
      </c>
      <c r="B893" t="s">
        <v>3</v>
      </c>
      <c r="C893">
        <v>0</v>
      </c>
      <c r="D893">
        <v>6</v>
      </c>
      <c r="E893" s="24">
        <v>446844485900</v>
      </c>
      <c r="F893">
        <f t="shared" si="13"/>
        <v>7.4</v>
      </c>
    </row>
    <row r="894" spans="1:6" x14ac:dyDescent="0.3">
      <c r="A894" t="s">
        <v>5</v>
      </c>
      <c r="B894" t="s">
        <v>3</v>
      </c>
      <c r="C894">
        <v>0</v>
      </c>
      <c r="D894">
        <v>6</v>
      </c>
      <c r="E894" s="24">
        <v>434823312700</v>
      </c>
      <c r="F894">
        <f t="shared" si="13"/>
        <v>7.2</v>
      </c>
    </row>
    <row r="895" spans="1:6" x14ac:dyDescent="0.3">
      <c r="A895" t="s">
        <v>5</v>
      </c>
      <c r="B895" t="s">
        <v>3</v>
      </c>
      <c r="C895">
        <v>0</v>
      </c>
      <c r="D895">
        <v>6</v>
      </c>
      <c r="E895" s="24">
        <v>419208635500</v>
      </c>
      <c r="F895">
        <f t="shared" si="13"/>
        <v>7</v>
      </c>
    </row>
    <row r="896" spans="1:6" x14ac:dyDescent="0.3">
      <c r="A896" t="s">
        <v>5</v>
      </c>
      <c r="B896" t="s">
        <v>3</v>
      </c>
      <c r="C896">
        <v>0</v>
      </c>
      <c r="D896">
        <v>6</v>
      </c>
      <c r="E896" s="24">
        <v>467619351900</v>
      </c>
      <c r="F896">
        <f t="shared" si="13"/>
        <v>7.8</v>
      </c>
    </row>
    <row r="897" spans="1:6" x14ac:dyDescent="0.3">
      <c r="A897" t="s">
        <v>5</v>
      </c>
      <c r="B897" t="s">
        <v>3</v>
      </c>
      <c r="C897">
        <v>0</v>
      </c>
      <c r="D897">
        <v>6</v>
      </c>
      <c r="E897" s="24">
        <v>1065207484100</v>
      </c>
      <c r="F897">
        <f t="shared" si="13"/>
        <v>17.8</v>
      </c>
    </row>
    <row r="898" spans="1:6" x14ac:dyDescent="0.3">
      <c r="A898" t="s">
        <v>5</v>
      </c>
      <c r="B898" t="s">
        <v>3</v>
      </c>
      <c r="C898">
        <v>0</v>
      </c>
      <c r="D898">
        <v>6</v>
      </c>
      <c r="E898" s="24">
        <v>1083299383100</v>
      </c>
      <c r="F898">
        <f t="shared" ref="F898:F961" si="14">ROUND(E898/60000000000, 1)</f>
        <v>18.100000000000001</v>
      </c>
    </row>
    <row r="899" spans="1:6" x14ac:dyDescent="0.3">
      <c r="A899" t="s">
        <v>5</v>
      </c>
      <c r="B899" t="s">
        <v>3</v>
      </c>
      <c r="C899">
        <v>0</v>
      </c>
      <c r="D899">
        <v>6</v>
      </c>
      <c r="E899" s="24">
        <v>1329461872200</v>
      </c>
      <c r="F899">
        <f t="shared" si="14"/>
        <v>22.2</v>
      </c>
    </row>
    <row r="900" spans="1:6" x14ac:dyDescent="0.3">
      <c r="A900" t="s">
        <v>5</v>
      </c>
      <c r="B900" t="s">
        <v>3</v>
      </c>
      <c r="C900">
        <v>0</v>
      </c>
      <c r="D900">
        <v>6</v>
      </c>
      <c r="E900" s="24">
        <v>2662080599800</v>
      </c>
      <c r="F900">
        <f t="shared" si="14"/>
        <v>44.4</v>
      </c>
    </row>
    <row r="901" spans="1:6" x14ac:dyDescent="0.3">
      <c r="A901" t="s">
        <v>5</v>
      </c>
      <c r="B901" t="s">
        <v>3</v>
      </c>
      <c r="C901">
        <v>0</v>
      </c>
      <c r="D901">
        <v>6</v>
      </c>
      <c r="E901" s="24">
        <v>1129178122500</v>
      </c>
      <c r="F901">
        <f t="shared" si="14"/>
        <v>18.8</v>
      </c>
    </row>
    <row r="902" spans="1:6" x14ac:dyDescent="0.3">
      <c r="A902" t="s">
        <v>5</v>
      </c>
      <c r="B902" t="s">
        <v>3</v>
      </c>
      <c r="C902">
        <v>0</v>
      </c>
      <c r="D902">
        <v>6</v>
      </c>
      <c r="E902" s="24">
        <v>1341609703000</v>
      </c>
      <c r="F902">
        <f t="shared" si="14"/>
        <v>22.4</v>
      </c>
    </row>
    <row r="903" spans="1:6" x14ac:dyDescent="0.3">
      <c r="A903" t="s">
        <v>5</v>
      </c>
      <c r="B903" t="s">
        <v>3</v>
      </c>
      <c r="C903">
        <v>0</v>
      </c>
      <c r="D903">
        <v>6</v>
      </c>
      <c r="E903" s="24">
        <v>2019422484600</v>
      </c>
      <c r="F903">
        <f t="shared" si="14"/>
        <v>33.700000000000003</v>
      </c>
    </row>
    <row r="904" spans="1:6" x14ac:dyDescent="0.3">
      <c r="A904" t="s">
        <v>5</v>
      </c>
      <c r="B904" t="s">
        <v>1</v>
      </c>
      <c r="C904">
        <v>0</v>
      </c>
      <c r="D904">
        <v>6</v>
      </c>
      <c r="E904" s="24">
        <v>1037273614500</v>
      </c>
      <c r="F904">
        <f t="shared" si="14"/>
        <v>17.3</v>
      </c>
    </row>
    <row r="905" spans="1:6" x14ac:dyDescent="0.3">
      <c r="A905" t="s">
        <v>5</v>
      </c>
      <c r="B905" t="s">
        <v>1</v>
      </c>
      <c r="C905">
        <v>0</v>
      </c>
      <c r="D905">
        <v>6</v>
      </c>
      <c r="E905" s="24">
        <v>1287053896500</v>
      </c>
      <c r="F905">
        <f t="shared" si="14"/>
        <v>21.5</v>
      </c>
    </row>
    <row r="906" spans="1:6" x14ac:dyDescent="0.3">
      <c r="A906" t="s">
        <v>5</v>
      </c>
      <c r="B906" t="s">
        <v>1</v>
      </c>
      <c r="C906">
        <v>0</v>
      </c>
      <c r="D906">
        <v>6</v>
      </c>
      <c r="E906" s="24">
        <v>1290253234000</v>
      </c>
      <c r="F906">
        <f t="shared" si="14"/>
        <v>21.5</v>
      </c>
    </row>
    <row r="907" spans="1:6" x14ac:dyDescent="0.3">
      <c r="A907" t="s">
        <v>5</v>
      </c>
      <c r="B907" t="s">
        <v>1</v>
      </c>
      <c r="C907">
        <v>0</v>
      </c>
      <c r="D907">
        <v>6</v>
      </c>
      <c r="E907" s="24">
        <v>1236239883500</v>
      </c>
      <c r="F907">
        <f t="shared" si="14"/>
        <v>20.6</v>
      </c>
    </row>
    <row r="908" spans="1:6" x14ac:dyDescent="0.3">
      <c r="A908" t="s">
        <v>5</v>
      </c>
      <c r="B908" t="s">
        <v>1</v>
      </c>
      <c r="C908">
        <v>0</v>
      </c>
      <c r="D908">
        <v>6</v>
      </c>
      <c r="E908" s="24">
        <v>1470790521200</v>
      </c>
      <c r="F908">
        <f t="shared" si="14"/>
        <v>24.5</v>
      </c>
    </row>
    <row r="909" spans="1:6" x14ac:dyDescent="0.3">
      <c r="A909" t="s">
        <v>5</v>
      </c>
      <c r="B909" t="s">
        <v>1</v>
      </c>
      <c r="C909">
        <v>0</v>
      </c>
      <c r="D909">
        <v>6</v>
      </c>
      <c r="E909" s="24">
        <v>1140935782300</v>
      </c>
      <c r="F909">
        <f t="shared" si="14"/>
        <v>19</v>
      </c>
    </row>
    <row r="910" spans="1:6" x14ac:dyDescent="0.3">
      <c r="A910" t="s">
        <v>5</v>
      </c>
      <c r="B910" t="s">
        <v>1</v>
      </c>
      <c r="C910">
        <v>0</v>
      </c>
      <c r="D910">
        <v>6</v>
      </c>
      <c r="E910" s="24">
        <v>1224173110000</v>
      </c>
      <c r="F910">
        <f t="shared" si="14"/>
        <v>20.399999999999999</v>
      </c>
    </row>
    <row r="911" spans="1:6" x14ac:dyDescent="0.3">
      <c r="A911" t="s">
        <v>5</v>
      </c>
      <c r="B911" t="s">
        <v>1</v>
      </c>
      <c r="C911">
        <v>0</v>
      </c>
      <c r="D911">
        <v>6</v>
      </c>
      <c r="E911" s="24">
        <v>407564195100</v>
      </c>
      <c r="F911">
        <f t="shared" si="14"/>
        <v>6.8</v>
      </c>
    </row>
    <row r="912" spans="1:6" x14ac:dyDescent="0.3">
      <c r="A912" t="s">
        <v>5</v>
      </c>
      <c r="B912" t="s">
        <v>1</v>
      </c>
      <c r="C912">
        <v>0</v>
      </c>
      <c r="D912">
        <v>6</v>
      </c>
      <c r="E912" s="24">
        <v>337355933599</v>
      </c>
      <c r="F912">
        <f t="shared" si="14"/>
        <v>5.6</v>
      </c>
    </row>
    <row r="913" spans="1:6" x14ac:dyDescent="0.3">
      <c r="A913" t="s">
        <v>5</v>
      </c>
      <c r="B913" t="s">
        <v>1</v>
      </c>
      <c r="C913">
        <v>0</v>
      </c>
      <c r="D913">
        <v>6</v>
      </c>
      <c r="E913" s="24">
        <v>478038466400</v>
      </c>
      <c r="F913">
        <f t="shared" si="14"/>
        <v>8</v>
      </c>
    </row>
    <row r="914" spans="1:6" x14ac:dyDescent="0.3">
      <c r="A914" t="s">
        <v>5</v>
      </c>
      <c r="B914" t="s">
        <v>1</v>
      </c>
      <c r="C914">
        <v>0</v>
      </c>
      <c r="D914">
        <v>6</v>
      </c>
      <c r="E914" s="24">
        <v>399626796600</v>
      </c>
      <c r="F914">
        <f t="shared" si="14"/>
        <v>6.7</v>
      </c>
    </row>
    <row r="915" spans="1:6" x14ac:dyDescent="0.3">
      <c r="A915" t="s">
        <v>5</v>
      </c>
      <c r="B915" t="s">
        <v>1</v>
      </c>
      <c r="C915">
        <v>0</v>
      </c>
      <c r="D915">
        <v>6</v>
      </c>
      <c r="E915" s="24">
        <v>461388813800</v>
      </c>
      <c r="F915">
        <f t="shared" si="14"/>
        <v>7.7</v>
      </c>
    </row>
    <row r="916" spans="1:6" x14ac:dyDescent="0.3">
      <c r="A916" t="s">
        <v>5</v>
      </c>
      <c r="B916" t="s">
        <v>1</v>
      </c>
      <c r="C916">
        <v>0</v>
      </c>
      <c r="D916">
        <v>6</v>
      </c>
      <c r="E916" s="24">
        <v>432983068100</v>
      </c>
      <c r="F916">
        <f t="shared" si="14"/>
        <v>7.2</v>
      </c>
    </row>
    <row r="917" spans="1:6" x14ac:dyDescent="0.3">
      <c r="A917" t="s">
        <v>5</v>
      </c>
      <c r="B917" t="s">
        <v>1</v>
      </c>
      <c r="C917">
        <v>0</v>
      </c>
      <c r="D917">
        <v>6</v>
      </c>
      <c r="E917" s="24">
        <v>428221132900</v>
      </c>
      <c r="F917">
        <f t="shared" si="14"/>
        <v>7.1</v>
      </c>
    </row>
    <row r="918" spans="1:6" x14ac:dyDescent="0.3">
      <c r="A918" t="s">
        <v>5</v>
      </c>
      <c r="B918" t="s">
        <v>1</v>
      </c>
      <c r="C918">
        <v>0</v>
      </c>
      <c r="D918">
        <v>6</v>
      </c>
      <c r="E918" s="24">
        <v>436768908200</v>
      </c>
      <c r="F918">
        <f t="shared" si="14"/>
        <v>7.3</v>
      </c>
    </row>
    <row r="919" spans="1:6" x14ac:dyDescent="0.3">
      <c r="A919" t="s">
        <v>5</v>
      </c>
      <c r="B919" t="s">
        <v>1</v>
      </c>
      <c r="C919">
        <v>0</v>
      </c>
      <c r="D919">
        <v>6</v>
      </c>
      <c r="E919" s="24">
        <v>401819104400</v>
      </c>
      <c r="F919">
        <f t="shared" si="14"/>
        <v>6.7</v>
      </c>
    </row>
    <row r="920" spans="1:6" x14ac:dyDescent="0.3">
      <c r="A920" t="s">
        <v>5</v>
      </c>
      <c r="B920" t="s">
        <v>1</v>
      </c>
      <c r="C920">
        <v>0</v>
      </c>
      <c r="D920">
        <v>6</v>
      </c>
      <c r="E920" s="24">
        <v>1072304861100</v>
      </c>
      <c r="F920">
        <f t="shared" si="14"/>
        <v>17.899999999999999</v>
      </c>
    </row>
    <row r="921" spans="1:6" x14ac:dyDescent="0.3">
      <c r="A921" t="s">
        <v>5</v>
      </c>
      <c r="B921" t="s">
        <v>1</v>
      </c>
      <c r="C921">
        <v>0</v>
      </c>
      <c r="D921">
        <v>6</v>
      </c>
      <c r="E921" s="24">
        <v>1543620777500</v>
      </c>
      <c r="F921">
        <f t="shared" si="14"/>
        <v>25.7</v>
      </c>
    </row>
    <row r="922" spans="1:6" x14ac:dyDescent="0.3">
      <c r="A922" t="s">
        <v>5</v>
      </c>
      <c r="B922" t="s">
        <v>1</v>
      </c>
      <c r="C922">
        <v>0</v>
      </c>
      <c r="D922">
        <v>6</v>
      </c>
      <c r="E922" s="24">
        <v>1540364803800</v>
      </c>
      <c r="F922">
        <f t="shared" si="14"/>
        <v>25.7</v>
      </c>
    </row>
    <row r="923" spans="1:6" x14ac:dyDescent="0.3">
      <c r="A923" t="s">
        <v>5</v>
      </c>
      <c r="B923" t="s">
        <v>1</v>
      </c>
      <c r="C923">
        <v>0</v>
      </c>
      <c r="D923">
        <v>6</v>
      </c>
      <c r="E923" s="24">
        <v>2595822730600</v>
      </c>
      <c r="F923">
        <f t="shared" si="14"/>
        <v>43.3</v>
      </c>
    </row>
    <row r="924" spans="1:6" x14ac:dyDescent="0.3">
      <c r="A924" t="s">
        <v>5</v>
      </c>
      <c r="B924" t="s">
        <v>1</v>
      </c>
      <c r="C924">
        <v>0</v>
      </c>
      <c r="D924">
        <v>6</v>
      </c>
      <c r="E924" s="24">
        <v>1217415541200</v>
      </c>
      <c r="F924">
        <f t="shared" si="14"/>
        <v>20.3</v>
      </c>
    </row>
    <row r="925" spans="1:6" x14ac:dyDescent="0.3">
      <c r="A925" t="s">
        <v>5</v>
      </c>
      <c r="B925" t="s">
        <v>1</v>
      </c>
      <c r="C925">
        <v>0</v>
      </c>
      <c r="D925">
        <v>6</v>
      </c>
      <c r="E925" s="24">
        <v>1390892076700</v>
      </c>
      <c r="F925">
        <f t="shared" si="14"/>
        <v>23.2</v>
      </c>
    </row>
    <row r="926" spans="1:6" x14ac:dyDescent="0.3">
      <c r="A926" t="s">
        <v>5</v>
      </c>
      <c r="B926" t="s">
        <v>1</v>
      </c>
      <c r="C926">
        <v>0</v>
      </c>
      <c r="D926">
        <v>6</v>
      </c>
      <c r="E926" s="24">
        <v>1665161821500</v>
      </c>
      <c r="F926">
        <f t="shared" si="14"/>
        <v>27.8</v>
      </c>
    </row>
    <row r="927" spans="1:6" x14ac:dyDescent="0.3">
      <c r="A927" t="s">
        <v>5</v>
      </c>
      <c r="B927" t="s">
        <v>2</v>
      </c>
      <c r="C927">
        <v>1</v>
      </c>
      <c r="D927">
        <v>6</v>
      </c>
      <c r="E927" s="24">
        <v>357097523700</v>
      </c>
      <c r="F927">
        <f t="shared" si="14"/>
        <v>6</v>
      </c>
    </row>
    <row r="928" spans="1:6" x14ac:dyDescent="0.3">
      <c r="A928" t="s">
        <v>5</v>
      </c>
      <c r="B928" t="s">
        <v>2</v>
      </c>
      <c r="C928">
        <v>1</v>
      </c>
      <c r="D928">
        <v>6</v>
      </c>
      <c r="E928" s="24">
        <v>309286510700</v>
      </c>
      <c r="F928">
        <f t="shared" si="14"/>
        <v>5.2</v>
      </c>
    </row>
    <row r="929" spans="1:6" x14ac:dyDescent="0.3">
      <c r="A929" t="s">
        <v>5</v>
      </c>
      <c r="B929" t="s">
        <v>2</v>
      </c>
      <c r="C929">
        <v>1</v>
      </c>
      <c r="D929">
        <v>6</v>
      </c>
      <c r="E929" s="24">
        <v>327700343100</v>
      </c>
      <c r="F929">
        <f t="shared" si="14"/>
        <v>5.5</v>
      </c>
    </row>
    <row r="930" spans="1:6" x14ac:dyDescent="0.3">
      <c r="A930" t="s">
        <v>5</v>
      </c>
      <c r="B930" t="s">
        <v>2</v>
      </c>
      <c r="C930">
        <v>1</v>
      </c>
      <c r="D930">
        <v>6</v>
      </c>
      <c r="E930" s="24">
        <v>349079891100</v>
      </c>
      <c r="F930">
        <f t="shared" si="14"/>
        <v>5.8</v>
      </c>
    </row>
    <row r="931" spans="1:6" x14ac:dyDescent="0.3">
      <c r="A931" t="s">
        <v>5</v>
      </c>
      <c r="B931" t="s">
        <v>2</v>
      </c>
      <c r="C931">
        <v>1</v>
      </c>
      <c r="D931">
        <v>6</v>
      </c>
      <c r="E931" s="24">
        <v>411929489500</v>
      </c>
      <c r="F931">
        <f t="shared" si="14"/>
        <v>6.9</v>
      </c>
    </row>
    <row r="932" spans="1:6" x14ac:dyDescent="0.3">
      <c r="A932" t="s">
        <v>5</v>
      </c>
      <c r="B932" t="s">
        <v>2</v>
      </c>
      <c r="C932">
        <v>1</v>
      </c>
      <c r="D932">
        <v>6</v>
      </c>
      <c r="E932" s="24">
        <v>387628232000</v>
      </c>
      <c r="F932">
        <f t="shared" si="14"/>
        <v>6.5</v>
      </c>
    </row>
    <row r="933" spans="1:6" x14ac:dyDescent="0.3">
      <c r="A933" t="s">
        <v>5</v>
      </c>
      <c r="B933" t="s">
        <v>2</v>
      </c>
      <c r="C933">
        <v>1</v>
      </c>
      <c r="D933">
        <v>6</v>
      </c>
      <c r="E933" s="24">
        <v>336983632400</v>
      </c>
      <c r="F933">
        <f t="shared" si="14"/>
        <v>5.6</v>
      </c>
    </row>
    <row r="934" spans="1:6" x14ac:dyDescent="0.3">
      <c r="A934" t="s">
        <v>5</v>
      </c>
      <c r="B934" t="s">
        <v>2</v>
      </c>
      <c r="C934">
        <v>1</v>
      </c>
      <c r="D934">
        <v>6</v>
      </c>
      <c r="E934" s="24">
        <v>369753768100</v>
      </c>
      <c r="F934">
        <f t="shared" si="14"/>
        <v>6.2</v>
      </c>
    </row>
    <row r="935" spans="1:6" x14ac:dyDescent="0.3">
      <c r="A935" t="s">
        <v>5</v>
      </c>
      <c r="B935" t="s">
        <v>2</v>
      </c>
      <c r="C935">
        <v>1</v>
      </c>
      <c r="D935">
        <v>6</v>
      </c>
      <c r="E935" s="24">
        <v>315671887700</v>
      </c>
      <c r="F935">
        <f t="shared" si="14"/>
        <v>5.3</v>
      </c>
    </row>
    <row r="936" spans="1:6" x14ac:dyDescent="0.3">
      <c r="A936" t="s">
        <v>5</v>
      </c>
      <c r="B936" t="s">
        <v>2</v>
      </c>
      <c r="C936">
        <v>1</v>
      </c>
      <c r="D936">
        <v>6</v>
      </c>
      <c r="E936" s="24">
        <v>1003479965300</v>
      </c>
      <c r="F936">
        <f t="shared" si="14"/>
        <v>16.7</v>
      </c>
    </row>
    <row r="937" spans="1:6" x14ac:dyDescent="0.3">
      <c r="A937" t="s">
        <v>5</v>
      </c>
      <c r="B937" t="s">
        <v>2</v>
      </c>
      <c r="C937">
        <v>1</v>
      </c>
      <c r="D937">
        <v>6</v>
      </c>
      <c r="E937" s="24">
        <v>1122521974500</v>
      </c>
      <c r="F937">
        <f t="shared" si="14"/>
        <v>18.7</v>
      </c>
    </row>
    <row r="938" spans="1:6" x14ac:dyDescent="0.3">
      <c r="A938" t="s">
        <v>5</v>
      </c>
      <c r="B938" t="s">
        <v>2</v>
      </c>
      <c r="C938">
        <v>1</v>
      </c>
      <c r="D938">
        <v>6</v>
      </c>
      <c r="E938" s="24">
        <v>2263566779000</v>
      </c>
      <c r="F938">
        <f t="shared" si="14"/>
        <v>37.700000000000003</v>
      </c>
    </row>
    <row r="939" spans="1:6" x14ac:dyDescent="0.3">
      <c r="A939" t="s">
        <v>5</v>
      </c>
      <c r="B939" t="s">
        <v>2</v>
      </c>
      <c r="C939">
        <v>1</v>
      </c>
      <c r="D939">
        <v>6</v>
      </c>
      <c r="E939" s="24">
        <v>1812699671700</v>
      </c>
      <c r="F939">
        <f t="shared" si="14"/>
        <v>30.2</v>
      </c>
    </row>
    <row r="940" spans="1:6" x14ac:dyDescent="0.3">
      <c r="A940" t="s">
        <v>5</v>
      </c>
      <c r="B940" t="s">
        <v>10</v>
      </c>
      <c r="C940">
        <v>1</v>
      </c>
      <c r="D940">
        <v>6</v>
      </c>
      <c r="E940" s="24">
        <v>867923328300</v>
      </c>
      <c r="F940">
        <f t="shared" si="14"/>
        <v>14.5</v>
      </c>
    </row>
    <row r="941" spans="1:6" x14ac:dyDescent="0.3">
      <c r="A941" t="s">
        <v>5</v>
      </c>
      <c r="B941" t="s">
        <v>10</v>
      </c>
      <c r="C941">
        <v>0</v>
      </c>
      <c r="D941">
        <v>6</v>
      </c>
      <c r="E941" s="24">
        <v>1150208446800</v>
      </c>
      <c r="F941">
        <f t="shared" si="14"/>
        <v>19.2</v>
      </c>
    </row>
    <row r="942" spans="1:6" x14ac:dyDescent="0.3">
      <c r="A942" t="s">
        <v>5</v>
      </c>
      <c r="B942" t="s">
        <v>10</v>
      </c>
      <c r="C942">
        <v>1</v>
      </c>
      <c r="D942">
        <v>6</v>
      </c>
      <c r="E942" s="24">
        <v>1066021703700</v>
      </c>
      <c r="F942">
        <f t="shared" si="14"/>
        <v>17.8</v>
      </c>
    </row>
    <row r="943" spans="1:6" x14ac:dyDescent="0.3">
      <c r="A943" t="s">
        <v>5</v>
      </c>
      <c r="B943" t="s">
        <v>10</v>
      </c>
      <c r="C943">
        <v>1</v>
      </c>
      <c r="D943">
        <v>6</v>
      </c>
      <c r="E943" s="24">
        <v>1462477166800</v>
      </c>
      <c r="F943">
        <f t="shared" si="14"/>
        <v>24.4</v>
      </c>
    </row>
    <row r="944" spans="1:6" x14ac:dyDescent="0.3">
      <c r="A944" t="s">
        <v>5</v>
      </c>
      <c r="B944" t="s">
        <v>10</v>
      </c>
      <c r="C944">
        <v>1</v>
      </c>
      <c r="D944">
        <v>6</v>
      </c>
      <c r="E944" s="24">
        <v>1175909573600</v>
      </c>
      <c r="F944">
        <f t="shared" si="14"/>
        <v>19.600000000000001</v>
      </c>
    </row>
    <row r="945" spans="1:6" x14ac:dyDescent="0.3">
      <c r="A945" t="s">
        <v>5</v>
      </c>
      <c r="B945" t="s">
        <v>10</v>
      </c>
      <c r="C945">
        <v>1</v>
      </c>
      <c r="D945">
        <v>6</v>
      </c>
      <c r="E945" s="24">
        <v>1009740483600</v>
      </c>
      <c r="F945">
        <f t="shared" si="14"/>
        <v>16.8</v>
      </c>
    </row>
    <row r="946" spans="1:6" x14ac:dyDescent="0.3">
      <c r="A946" t="s">
        <v>5</v>
      </c>
      <c r="B946" t="s">
        <v>10</v>
      </c>
      <c r="C946">
        <v>1</v>
      </c>
      <c r="D946">
        <v>6</v>
      </c>
      <c r="E946" s="24">
        <v>310965823500</v>
      </c>
      <c r="F946">
        <f t="shared" si="14"/>
        <v>5.2</v>
      </c>
    </row>
    <row r="947" spans="1:6" x14ac:dyDescent="0.3">
      <c r="A947" t="s">
        <v>5</v>
      </c>
      <c r="B947" t="s">
        <v>10</v>
      </c>
      <c r="C947">
        <v>1</v>
      </c>
      <c r="D947">
        <v>6</v>
      </c>
      <c r="E947" s="24">
        <v>278235564100</v>
      </c>
      <c r="F947">
        <f t="shared" si="14"/>
        <v>4.5999999999999996</v>
      </c>
    </row>
    <row r="948" spans="1:6" x14ac:dyDescent="0.3">
      <c r="A948" t="s">
        <v>5</v>
      </c>
      <c r="B948" t="s">
        <v>10</v>
      </c>
      <c r="C948">
        <v>1</v>
      </c>
      <c r="D948">
        <v>6</v>
      </c>
      <c r="E948" s="24">
        <v>353462900399</v>
      </c>
      <c r="F948">
        <f t="shared" si="14"/>
        <v>5.9</v>
      </c>
    </row>
    <row r="949" spans="1:6" x14ac:dyDescent="0.3">
      <c r="A949" t="s">
        <v>5</v>
      </c>
      <c r="B949" t="s">
        <v>10</v>
      </c>
      <c r="C949">
        <v>1</v>
      </c>
      <c r="D949">
        <v>6</v>
      </c>
      <c r="E949" s="24">
        <v>365761882300</v>
      </c>
      <c r="F949">
        <f t="shared" si="14"/>
        <v>6.1</v>
      </c>
    </row>
    <row r="950" spans="1:6" x14ac:dyDescent="0.3">
      <c r="A950" t="s">
        <v>5</v>
      </c>
      <c r="B950" t="s">
        <v>10</v>
      </c>
      <c r="C950">
        <v>0</v>
      </c>
      <c r="D950">
        <v>6</v>
      </c>
      <c r="E950" s="24">
        <v>385916159100</v>
      </c>
      <c r="F950">
        <f t="shared" si="14"/>
        <v>6.4</v>
      </c>
    </row>
    <row r="951" spans="1:6" x14ac:dyDescent="0.3">
      <c r="A951" t="s">
        <v>5</v>
      </c>
      <c r="B951" t="s">
        <v>10</v>
      </c>
      <c r="C951">
        <v>1</v>
      </c>
      <c r="D951">
        <v>6</v>
      </c>
      <c r="E951" s="24">
        <v>398648560800</v>
      </c>
      <c r="F951">
        <f t="shared" si="14"/>
        <v>6.6</v>
      </c>
    </row>
    <row r="952" spans="1:6" x14ac:dyDescent="0.3">
      <c r="A952" t="s">
        <v>5</v>
      </c>
      <c r="B952" t="s">
        <v>10</v>
      </c>
      <c r="C952">
        <v>1</v>
      </c>
      <c r="D952">
        <v>6</v>
      </c>
      <c r="E952" s="24">
        <v>379402750100</v>
      </c>
      <c r="F952">
        <f t="shared" si="14"/>
        <v>6.3</v>
      </c>
    </row>
    <row r="953" spans="1:6" x14ac:dyDescent="0.3">
      <c r="A953" t="s">
        <v>5</v>
      </c>
      <c r="B953" t="s">
        <v>10</v>
      </c>
      <c r="C953">
        <v>1</v>
      </c>
      <c r="D953">
        <v>6</v>
      </c>
      <c r="E953" s="24">
        <v>387244678600</v>
      </c>
      <c r="F953">
        <f t="shared" si="14"/>
        <v>6.5</v>
      </c>
    </row>
    <row r="954" spans="1:6" x14ac:dyDescent="0.3">
      <c r="A954" t="s">
        <v>5</v>
      </c>
      <c r="B954" t="s">
        <v>10</v>
      </c>
      <c r="C954">
        <v>1</v>
      </c>
      <c r="D954">
        <v>6</v>
      </c>
      <c r="E954" s="24">
        <v>473808327400</v>
      </c>
      <c r="F954">
        <f t="shared" si="14"/>
        <v>7.9</v>
      </c>
    </row>
    <row r="955" spans="1:6" x14ac:dyDescent="0.3">
      <c r="A955" t="s">
        <v>5</v>
      </c>
      <c r="B955" t="s">
        <v>10</v>
      </c>
      <c r="C955">
        <v>1</v>
      </c>
      <c r="D955">
        <v>6</v>
      </c>
      <c r="E955" s="24">
        <v>1293078684800</v>
      </c>
      <c r="F955">
        <f t="shared" si="14"/>
        <v>21.6</v>
      </c>
    </row>
    <row r="956" spans="1:6" x14ac:dyDescent="0.3">
      <c r="A956" t="s">
        <v>5</v>
      </c>
      <c r="B956" t="s">
        <v>10</v>
      </c>
      <c r="C956">
        <v>0</v>
      </c>
      <c r="D956">
        <v>6</v>
      </c>
      <c r="E956" s="24">
        <v>946682853200</v>
      </c>
      <c r="F956">
        <f t="shared" si="14"/>
        <v>15.8</v>
      </c>
    </row>
    <row r="957" spans="1:6" x14ac:dyDescent="0.3">
      <c r="A957" t="s">
        <v>5</v>
      </c>
      <c r="B957" t="s">
        <v>10</v>
      </c>
      <c r="C957">
        <v>1</v>
      </c>
      <c r="D957">
        <v>6</v>
      </c>
      <c r="E957" s="24">
        <v>1202791202000</v>
      </c>
      <c r="F957">
        <f t="shared" si="14"/>
        <v>20</v>
      </c>
    </row>
    <row r="958" spans="1:6" x14ac:dyDescent="0.3">
      <c r="A958" t="s">
        <v>5</v>
      </c>
      <c r="B958" t="s">
        <v>10</v>
      </c>
      <c r="C958">
        <v>1</v>
      </c>
      <c r="D958">
        <v>6</v>
      </c>
      <c r="E958" s="24">
        <v>2651810591400</v>
      </c>
      <c r="F958">
        <f t="shared" si="14"/>
        <v>44.2</v>
      </c>
    </row>
    <row r="959" spans="1:6" x14ac:dyDescent="0.3">
      <c r="A959" t="s">
        <v>5</v>
      </c>
      <c r="B959" t="s">
        <v>10</v>
      </c>
      <c r="C959">
        <v>0</v>
      </c>
      <c r="D959">
        <v>6</v>
      </c>
      <c r="E959" s="24">
        <v>1086852934000</v>
      </c>
      <c r="F959">
        <f t="shared" si="14"/>
        <v>18.100000000000001</v>
      </c>
    </row>
    <row r="960" spans="1:6" x14ac:dyDescent="0.3">
      <c r="A960" t="s">
        <v>5</v>
      </c>
      <c r="B960" t="s">
        <v>10</v>
      </c>
      <c r="C960">
        <v>1</v>
      </c>
      <c r="D960">
        <v>6</v>
      </c>
      <c r="E960" s="24">
        <v>1568404257200</v>
      </c>
      <c r="F960">
        <f t="shared" si="14"/>
        <v>26.1</v>
      </c>
    </row>
    <row r="961" spans="1:6" x14ac:dyDescent="0.3">
      <c r="A961" t="s">
        <v>5</v>
      </c>
      <c r="B961" t="s">
        <v>10</v>
      </c>
      <c r="C961">
        <v>1</v>
      </c>
      <c r="D961">
        <v>6</v>
      </c>
      <c r="E961" s="24">
        <v>1436456105900</v>
      </c>
      <c r="F961">
        <f t="shared" si="14"/>
        <v>23.9</v>
      </c>
    </row>
    <row r="962" spans="1:6" x14ac:dyDescent="0.3">
      <c r="A962" t="s">
        <v>5</v>
      </c>
      <c r="B962" t="s">
        <v>10</v>
      </c>
      <c r="C962">
        <v>1</v>
      </c>
      <c r="D962">
        <v>6</v>
      </c>
      <c r="E962" s="24">
        <v>1944173272700</v>
      </c>
      <c r="F962">
        <f t="shared" ref="F962:F1025" si="15">ROUND(E962/60000000000, 1)</f>
        <v>32.4</v>
      </c>
    </row>
    <row r="963" spans="1:6" x14ac:dyDescent="0.3">
      <c r="A963" t="s">
        <v>1</v>
      </c>
      <c r="B963" t="s">
        <v>4</v>
      </c>
      <c r="C963">
        <v>1</v>
      </c>
      <c r="D963">
        <v>6</v>
      </c>
      <c r="E963" s="24">
        <v>115866096200</v>
      </c>
      <c r="F963">
        <f t="shared" si="15"/>
        <v>1.9</v>
      </c>
    </row>
    <row r="964" spans="1:6" x14ac:dyDescent="0.3">
      <c r="A964" t="s">
        <v>1</v>
      </c>
      <c r="B964" t="s">
        <v>4</v>
      </c>
      <c r="C964">
        <v>1</v>
      </c>
      <c r="D964">
        <v>6</v>
      </c>
      <c r="E964" s="24">
        <v>615483925700</v>
      </c>
      <c r="F964">
        <f t="shared" si="15"/>
        <v>10.3</v>
      </c>
    </row>
    <row r="965" spans="1:6" x14ac:dyDescent="0.3">
      <c r="A965" t="s">
        <v>1</v>
      </c>
      <c r="B965" t="s">
        <v>4</v>
      </c>
      <c r="C965">
        <v>1</v>
      </c>
      <c r="D965">
        <v>6</v>
      </c>
      <c r="E965" s="24">
        <v>502599688300</v>
      </c>
      <c r="F965">
        <f t="shared" si="15"/>
        <v>8.4</v>
      </c>
    </row>
    <row r="966" spans="1:6" x14ac:dyDescent="0.3">
      <c r="A966" t="s">
        <v>1</v>
      </c>
      <c r="B966" t="s">
        <v>4</v>
      </c>
      <c r="C966">
        <v>1</v>
      </c>
      <c r="D966">
        <v>6</v>
      </c>
      <c r="E966" s="24">
        <v>568588170800</v>
      </c>
      <c r="F966">
        <f t="shared" si="15"/>
        <v>9.5</v>
      </c>
    </row>
    <row r="967" spans="1:6" x14ac:dyDescent="0.3">
      <c r="A967" t="s">
        <v>1</v>
      </c>
      <c r="B967" t="s">
        <v>4</v>
      </c>
      <c r="C967">
        <v>1</v>
      </c>
      <c r="D967">
        <v>6</v>
      </c>
      <c r="E967" s="24">
        <v>1029816276200</v>
      </c>
      <c r="F967">
        <f t="shared" si="15"/>
        <v>17.2</v>
      </c>
    </row>
    <row r="968" spans="1:6" x14ac:dyDescent="0.3">
      <c r="A968" t="s">
        <v>1</v>
      </c>
      <c r="B968" t="s">
        <v>3</v>
      </c>
      <c r="C968">
        <v>1</v>
      </c>
      <c r="D968">
        <v>6</v>
      </c>
      <c r="E968" s="24">
        <v>7346262300</v>
      </c>
      <c r="F968">
        <f t="shared" si="15"/>
        <v>0.1</v>
      </c>
    </row>
    <row r="969" spans="1:6" x14ac:dyDescent="0.3">
      <c r="A969" t="s">
        <v>1</v>
      </c>
      <c r="B969" t="s">
        <v>3</v>
      </c>
      <c r="C969">
        <v>1</v>
      </c>
      <c r="D969">
        <v>6</v>
      </c>
      <c r="E969" s="24">
        <v>2003684800</v>
      </c>
      <c r="F969">
        <f t="shared" si="15"/>
        <v>0</v>
      </c>
    </row>
    <row r="970" spans="1:6" x14ac:dyDescent="0.3">
      <c r="A970" t="s">
        <v>1</v>
      </c>
      <c r="B970" t="s">
        <v>3</v>
      </c>
      <c r="C970">
        <v>0</v>
      </c>
      <c r="D970">
        <v>6</v>
      </c>
      <c r="E970" s="24">
        <v>2875458900</v>
      </c>
      <c r="F970">
        <f t="shared" si="15"/>
        <v>0</v>
      </c>
    </row>
    <row r="971" spans="1:6" x14ac:dyDescent="0.3">
      <c r="A971" t="s">
        <v>1</v>
      </c>
      <c r="B971" t="s">
        <v>3</v>
      </c>
      <c r="C971">
        <v>1</v>
      </c>
      <c r="D971">
        <v>6</v>
      </c>
      <c r="E971" s="24">
        <v>5814446400</v>
      </c>
      <c r="F971">
        <f t="shared" si="15"/>
        <v>0.1</v>
      </c>
    </row>
    <row r="972" spans="1:6" x14ac:dyDescent="0.3">
      <c r="A972" t="s">
        <v>1</v>
      </c>
      <c r="B972" t="s">
        <v>3</v>
      </c>
      <c r="C972">
        <v>1</v>
      </c>
      <c r="D972">
        <v>6</v>
      </c>
      <c r="E972" s="24">
        <v>5758668300</v>
      </c>
      <c r="F972">
        <f t="shared" si="15"/>
        <v>0.1</v>
      </c>
    </row>
    <row r="973" spans="1:6" x14ac:dyDescent="0.3">
      <c r="A973" t="s">
        <v>1</v>
      </c>
      <c r="B973" t="s">
        <v>3</v>
      </c>
      <c r="C973">
        <v>0</v>
      </c>
      <c r="D973">
        <v>6</v>
      </c>
      <c r="E973" s="24">
        <v>4152668500</v>
      </c>
      <c r="F973">
        <f t="shared" si="15"/>
        <v>0.1</v>
      </c>
    </row>
    <row r="974" spans="1:6" x14ac:dyDescent="0.3">
      <c r="A974" t="s">
        <v>1</v>
      </c>
      <c r="B974" t="s">
        <v>5</v>
      </c>
      <c r="C974">
        <v>1</v>
      </c>
      <c r="D974">
        <v>6</v>
      </c>
      <c r="E974" s="24">
        <v>1187596647501</v>
      </c>
      <c r="F974">
        <f t="shared" si="15"/>
        <v>19.8</v>
      </c>
    </row>
    <row r="975" spans="1:6" x14ac:dyDescent="0.3">
      <c r="A975" t="s">
        <v>1</v>
      </c>
      <c r="B975" t="s">
        <v>5</v>
      </c>
      <c r="C975">
        <v>1</v>
      </c>
      <c r="D975">
        <v>6</v>
      </c>
      <c r="E975" s="24">
        <v>1231337658300</v>
      </c>
      <c r="F975">
        <f t="shared" si="15"/>
        <v>20.5</v>
      </c>
    </row>
    <row r="976" spans="1:6" x14ac:dyDescent="0.3">
      <c r="A976" t="s">
        <v>1</v>
      </c>
      <c r="B976" t="s">
        <v>5</v>
      </c>
      <c r="C976">
        <v>1</v>
      </c>
      <c r="D976">
        <v>6</v>
      </c>
      <c r="E976" s="24">
        <v>1318698840300</v>
      </c>
      <c r="F976">
        <f t="shared" si="15"/>
        <v>22</v>
      </c>
    </row>
    <row r="977" spans="1:6" x14ac:dyDescent="0.3">
      <c r="A977" t="s">
        <v>1</v>
      </c>
      <c r="B977" t="s">
        <v>5</v>
      </c>
      <c r="C977">
        <v>1</v>
      </c>
      <c r="D977">
        <v>6</v>
      </c>
      <c r="E977" s="24">
        <v>1068032220200</v>
      </c>
      <c r="F977">
        <f t="shared" si="15"/>
        <v>17.8</v>
      </c>
    </row>
    <row r="978" spans="1:6" x14ac:dyDescent="0.3">
      <c r="A978" t="s">
        <v>1</v>
      </c>
      <c r="B978" t="s">
        <v>5</v>
      </c>
      <c r="C978">
        <v>1</v>
      </c>
      <c r="D978">
        <v>6</v>
      </c>
      <c r="E978" s="24">
        <v>1477244753300</v>
      </c>
      <c r="F978">
        <f t="shared" si="15"/>
        <v>24.6</v>
      </c>
    </row>
    <row r="979" spans="1:6" x14ac:dyDescent="0.3">
      <c r="A979" t="s">
        <v>1</v>
      </c>
      <c r="B979" t="s">
        <v>5</v>
      </c>
      <c r="C979">
        <v>1</v>
      </c>
      <c r="D979">
        <v>6</v>
      </c>
      <c r="E979" s="24">
        <v>1525097162400</v>
      </c>
      <c r="F979">
        <f t="shared" si="15"/>
        <v>25.4</v>
      </c>
    </row>
    <row r="980" spans="1:6" x14ac:dyDescent="0.3">
      <c r="A980" t="s">
        <v>1</v>
      </c>
      <c r="B980" t="s">
        <v>5</v>
      </c>
      <c r="C980">
        <v>1</v>
      </c>
      <c r="D980">
        <v>6</v>
      </c>
      <c r="E980" s="24">
        <v>1182320568800</v>
      </c>
      <c r="F980">
        <f t="shared" si="15"/>
        <v>19.7</v>
      </c>
    </row>
    <row r="981" spans="1:6" x14ac:dyDescent="0.3">
      <c r="A981" t="s">
        <v>1</v>
      </c>
      <c r="B981" t="s">
        <v>5</v>
      </c>
      <c r="C981">
        <v>1</v>
      </c>
      <c r="D981">
        <v>6</v>
      </c>
      <c r="E981" s="24">
        <v>276594763800</v>
      </c>
      <c r="F981">
        <f t="shared" si="15"/>
        <v>4.5999999999999996</v>
      </c>
    </row>
    <row r="982" spans="1:6" x14ac:dyDescent="0.3">
      <c r="A982" t="s">
        <v>1</v>
      </c>
      <c r="B982" t="s">
        <v>5</v>
      </c>
      <c r="C982">
        <v>1</v>
      </c>
      <c r="D982">
        <v>6</v>
      </c>
      <c r="E982" s="24">
        <v>288002689900</v>
      </c>
      <c r="F982">
        <f t="shared" si="15"/>
        <v>4.8</v>
      </c>
    </row>
    <row r="983" spans="1:6" x14ac:dyDescent="0.3">
      <c r="A983" t="s">
        <v>1</v>
      </c>
      <c r="B983" t="s">
        <v>5</v>
      </c>
      <c r="C983">
        <v>1</v>
      </c>
      <c r="D983">
        <v>6</v>
      </c>
      <c r="E983" s="24">
        <v>334821017900</v>
      </c>
      <c r="F983">
        <f t="shared" si="15"/>
        <v>5.6</v>
      </c>
    </row>
    <row r="984" spans="1:6" x14ac:dyDescent="0.3">
      <c r="A984" t="s">
        <v>1</v>
      </c>
      <c r="B984" t="s">
        <v>5</v>
      </c>
      <c r="C984">
        <v>1</v>
      </c>
      <c r="D984">
        <v>6</v>
      </c>
      <c r="E984" s="24">
        <v>451012884600</v>
      </c>
      <c r="F984">
        <f t="shared" si="15"/>
        <v>7.5</v>
      </c>
    </row>
    <row r="985" spans="1:6" x14ac:dyDescent="0.3">
      <c r="A985" t="s">
        <v>1</v>
      </c>
      <c r="B985" t="s">
        <v>5</v>
      </c>
      <c r="C985">
        <v>1</v>
      </c>
      <c r="D985">
        <v>6</v>
      </c>
      <c r="E985" s="24">
        <v>393369956000</v>
      </c>
      <c r="F985">
        <f t="shared" si="15"/>
        <v>6.6</v>
      </c>
    </row>
    <row r="986" spans="1:6" x14ac:dyDescent="0.3">
      <c r="A986" t="s">
        <v>1</v>
      </c>
      <c r="B986" t="s">
        <v>5</v>
      </c>
      <c r="C986">
        <v>1</v>
      </c>
      <c r="D986">
        <v>6</v>
      </c>
      <c r="E986" s="24">
        <v>499530327900</v>
      </c>
      <c r="F986">
        <f t="shared" si="15"/>
        <v>8.3000000000000007</v>
      </c>
    </row>
    <row r="987" spans="1:6" x14ac:dyDescent="0.3">
      <c r="A987" t="s">
        <v>1</v>
      </c>
      <c r="B987" t="s">
        <v>5</v>
      </c>
      <c r="C987">
        <v>1</v>
      </c>
      <c r="D987">
        <v>6</v>
      </c>
      <c r="E987" s="24">
        <v>432839415300</v>
      </c>
      <c r="F987">
        <f t="shared" si="15"/>
        <v>7.2</v>
      </c>
    </row>
    <row r="988" spans="1:6" x14ac:dyDescent="0.3">
      <c r="A988" t="s">
        <v>1</v>
      </c>
      <c r="B988" t="s">
        <v>5</v>
      </c>
      <c r="C988">
        <v>1</v>
      </c>
      <c r="D988">
        <v>6</v>
      </c>
      <c r="E988" s="24">
        <v>444098645700</v>
      </c>
      <c r="F988">
        <f t="shared" si="15"/>
        <v>7.4</v>
      </c>
    </row>
    <row r="989" spans="1:6" x14ac:dyDescent="0.3">
      <c r="A989" t="s">
        <v>1</v>
      </c>
      <c r="B989" t="s">
        <v>5</v>
      </c>
      <c r="C989">
        <v>1</v>
      </c>
      <c r="D989">
        <v>6</v>
      </c>
      <c r="E989" s="24">
        <v>316465741600</v>
      </c>
      <c r="F989">
        <f t="shared" si="15"/>
        <v>5.3</v>
      </c>
    </row>
    <row r="990" spans="1:6" x14ac:dyDescent="0.3">
      <c r="A990" t="s">
        <v>1</v>
      </c>
      <c r="B990" t="s">
        <v>5</v>
      </c>
      <c r="C990">
        <v>1</v>
      </c>
      <c r="D990">
        <v>6</v>
      </c>
      <c r="E990" s="24">
        <v>1163814786300</v>
      </c>
      <c r="F990">
        <f t="shared" si="15"/>
        <v>19.399999999999999</v>
      </c>
    </row>
    <row r="991" spans="1:6" x14ac:dyDescent="0.3">
      <c r="A991" t="s">
        <v>1</v>
      </c>
      <c r="B991" t="s">
        <v>5</v>
      </c>
      <c r="C991">
        <v>1</v>
      </c>
      <c r="D991">
        <v>6</v>
      </c>
      <c r="E991" s="24">
        <v>3292025204900</v>
      </c>
      <c r="F991">
        <f t="shared" si="15"/>
        <v>54.9</v>
      </c>
    </row>
    <row r="992" spans="1:6" x14ac:dyDescent="0.3">
      <c r="A992" t="s">
        <v>1</v>
      </c>
      <c r="B992" t="s">
        <v>5</v>
      </c>
      <c r="C992">
        <v>1</v>
      </c>
      <c r="D992">
        <v>6</v>
      </c>
      <c r="E992" s="24">
        <v>1144678472699</v>
      </c>
      <c r="F992">
        <f t="shared" si="15"/>
        <v>19.100000000000001</v>
      </c>
    </row>
    <row r="993" spans="1:6" x14ac:dyDescent="0.3">
      <c r="A993" t="s">
        <v>1</v>
      </c>
      <c r="B993" t="s">
        <v>5</v>
      </c>
      <c r="C993">
        <v>1</v>
      </c>
      <c r="D993">
        <v>6</v>
      </c>
      <c r="E993" s="24">
        <v>1052502906300</v>
      </c>
      <c r="F993">
        <f t="shared" si="15"/>
        <v>17.5</v>
      </c>
    </row>
    <row r="994" spans="1:6" x14ac:dyDescent="0.3">
      <c r="A994" t="s">
        <v>1</v>
      </c>
      <c r="B994" t="s">
        <v>5</v>
      </c>
      <c r="C994">
        <v>1</v>
      </c>
      <c r="D994">
        <v>6</v>
      </c>
      <c r="E994" s="24">
        <v>1230919615100</v>
      </c>
      <c r="F994">
        <f t="shared" si="15"/>
        <v>20.5</v>
      </c>
    </row>
    <row r="995" spans="1:6" x14ac:dyDescent="0.3">
      <c r="A995" t="s">
        <v>1</v>
      </c>
      <c r="B995" t="s">
        <v>5</v>
      </c>
      <c r="C995">
        <v>1</v>
      </c>
      <c r="D995">
        <v>6</v>
      </c>
      <c r="E995" s="24">
        <v>1486268389000</v>
      </c>
      <c r="F995">
        <f t="shared" si="15"/>
        <v>24.8</v>
      </c>
    </row>
    <row r="996" spans="1:6" x14ac:dyDescent="0.3">
      <c r="A996" t="s">
        <v>1</v>
      </c>
      <c r="B996" t="s">
        <v>5</v>
      </c>
      <c r="C996">
        <v>1</v>
      </c>
      <c r="D996">
        <v>6</v>
      </c>
      <c r="E996" s="24">
        <v>2220398652700</v>
      </c>
      <c r="F996">
        <f t="shared" si="15"/>
        <v>37</v>
      </c>
    </row>
    <row r="997" spans="1:6" x14ac:dyDescent="0.3">
      <c r="A997" t="s">
        <v>1</v>
      </c>
      <c r="B997" t="s">
        <v>2</v>
      </c>
      <c r="C997">
        <v>1</v>
      </c>
      <c r="D997">
        <v>6</v>
      </c>
      <c r="E997" s="24">
        <v>962627400</v>
      </c>
      <c r="F997">
        <f t="shared" si="15"/>
        <v>0</v>
      </c>
    </row>
    <row r="998" spans="1:6" x14ac:dyDescent="0.3">
      <c r="A998" t="s">
        <v>1</v>
      </c>
      <c r="B998" t="s">
        <v>2</v>
      </c>
      <c r="C998">
        <v>1</v>
      </c>
      <c r="D998">
        <v>6</v>
      </c>
      <c r="E998" s="24">
        <v>1330658200</v>
      </c>
      <c r="F998">
        <f t="shared" si="15"/>
        <v>0</v>
      </c>
    </row>
    <row r="999" spans="1:6" x14ac:dyDescent="0.3">
      <c r="A999" t="s">
        <v>1</v>
      </c>
      <c r="B999" t="s">
        <v>2</v>
      </c>
      <c r="C999">
        <v>1</v>
      </c>
      <c r="D999">
        <v>6</v>
      </c>
      <c r="E999" s="24">
        <v>1591981100</v>
      </c>
      <c r="F999">
        <f t="shared" si="15"/>
        <v>0</v>
      </c>
    </row>
    <row r="1000" spans="1:6" x14ac:dyDescent="0.3">
      <c r="A1000" t="s">
        <v>1</v>
      </c>
      <c r="B1000" t="s">
        <v>2</v>
      </c>
      <c r="C1000">
        <v>1</v>
      </c>
      <c r="D1000">
        <v>6</v>
      </c>
      <c r="E1000" s="24">
        <v>1598965100</v>
      </c>
      <c r="F1000">
        <f t="shared" si="15"/>
        <v>0</v>
      </c>
    </row>
    <row r="1001" spans="1:6" x14ac:dyDescent="0.3">
      <c r="A1001" t="s">
        <v>1</v>
      </c>
      <c r="B1001" t="s">
        <v>2</v>
      </c>
      <c r="C1001">
        <v>1</v>
      </c>
      <c r="D1001">
        <v>6</v>
      </c>
      <c r="E1001" s="24">
        <v>2051819600</v>
      </c>
      <c r="F1001">
        <f t="shared" si="15"/>
        <v>0</v>
      </c>
    </row>
    <row r="1002" spans="1:6" x14ac:dyDescent="0.3">
      <c r="A1002" t="s">
        <v>1</v>
      </c>
      <c r="B1002" t="s">
        <v>10</v>
      </c>
      <c r="C1002">
        <v>1</v>
      </c>
      <c r="D1002">
        <v>6</v>
      </c>
      <c r="E1002" s="24">
        <v>1568688600</v>
      </c>
      <c r="F1002">
        <f t="shared" si="15"/>
        <v>0</v>
      </c>
    </row>
    <row r="1003" spans="1:6" x14ac:dyDescent="0.3">
      <c r="A1003" t="s">
        <v>1</v>
      </c>
      <c r="B1003" t="s">
        <v>10</v>
      </c>
      <c r="C1003">
        <v>1</v>
      </c>
      <c r="D1003">
        <v>6</v>
      </c>
      <c r="E1003" s="24">
        <v>276240900</v>
      </c>
      <c r="F1003">
        <f t="shared" si="15"/>
        <v>0</v>
      </c>
    </row>
    <row r="1004" spans="1:6" x14ac:dyDescent="0.3">
      <c r="A1004" t="s">
        <v>1</v>
      </c>
      <c r="B1004" t="s">
        <v>10</v>
      </c>
      <c r="C1004">
        <v>1</v>
      </c>
      <c r="D1004">
        <v>6</v>
      </c>
      <c r="E1004" s="24">
        <v>1008346100</v>
      </c>
      <c r="F1004">
        <f t="shared" si="15"/>
        <v>0</v>
      </c>
    </row>
    <row r="1005" spans="1:6" x14ac:dyDescent="0.3">
      <c r="A1005" t="s">
        <v>1</v>
      </c>
      <c r="B1005" t="s">
        <v>10</v>
      </c>
      <c r="C1005">
        <v>1</v>
      </c>
      <c r="D1005">
        <v>6</v>
      </c>
      <c r="E1005" s="24">
        <v>869930400</v>
      </c>
      <c r="F1005">
        <f t="shared" si="15"/>
        <v>0</v>
      </c>
    </row>
    <row r="1006" spans="1:6" x14ac:dyDescent="0.3">
      <c r="A1006" t="s">
        <v>1</v>
      </c>
      <c r="B1006" t="s">
        <v>10</v>
      </c>
      <c r="C1006">
        <v>1</v>
      </c>
      <c r="D1006">
        <v>6</v>
      </c>
      <c r="E1006" s="24">
        <v>782586300</v>
      </c>
      <c r="F1006">
        <f t="shared" si="15"/>
        <v>0</v>
      </c>
    </row>
    <row r="1007" spans="1:6" x14ac:dyDescent="0.3">
      <c r="A1007" t="s">
        <v>1</v>
      </c>
      <c r="B1007" t="s">
        <v>10</v>
      </c>
      <c r="C1007">
        <v>1</v>
      </c>
      <c r="D1007">
        <v>6</v>
      </c>
      <c r="E1007" s="24">
        <v>1214340500</v>
      </c>
      <c r="F1007">
        <f t="shared" si="15"/>
        <v>0</v>
      </c>
    </row>
    <row r="1008" spans="1:6" x14ac:dyDescent="0.3">
      <c r="A1008" t="s">
        <v>2</v>
      </c>
      <c r="B1008" t="s">
        <v>4</v>
      </c>
      <c r="C1008">
        <v>1</v>
      </c>
      <c r="D1008">
        <v>6</v>
      </c>
      <c r="E1008" s="24">
        <v>129486624900</v>
      </c>
      <c r="F1008">
        <f t="shared" si="15"/>
        <v>2.2000000000000002</v>
      </c>
    </row>
    <row r="1009" spans="1:6" x14ac:dyDescent="0.3">
      <c r="A1009" t="s">
        <v>2</v>
      </c>
      <c r="B1009" t="s">
        <v>4</v>
      </c>
      <c r="C1009">
        <v>0</v>
      </c>
      <c r="D1009">
        <v>6</v>
      </c>
      <c r="E1009" s="24">
        <v>449340562800</v>
      </c>
      <c r="F1009">
        <f t="shared" si="15"/>
        <v>7.5</v>
      </c>
    </row>
    <row r="1010" spans="1:6" x14ac:dyDescent="0.3">
      <c r="A1010" t="s">
        <v>2</v>
      </c>
      <c r="B1010" t="s">
        <v>4</v>
      </c>
      <c r="C1010">
        <v>0</v>
      </c>
      <c r="D1010">
        <v>6</v>
      </c>
      <c r="E1010" s="24">
        <v>595934379000</v>
      </c>
      <c r="F1010">
        <f t="shared" si="15"/>
        <v>9.9</v>
      </c>
    </row>
    <row r="1011" spans="1:6" x14ac:dyDescent="0.3">
      <c r="A1011" t="s">
        <v>2</v>
      </c>
      <c r="B1011" t="s">
        <v>4</v>
      </c>
      <c r="C1011">
        <v>0</v>
      </c>
      <c r="D1011">
        <v>6</v>
      </c>
      <c r="E1011" s="24">
        <v>664265665100</v>
      </c>
      <c r="F1011">
        <f t="shared" si="15"/>
        <v>11.1</v>
      </c>
    </row>
    <row r="1012" spans="1:6" x14ac:dyDescent="0.3">
      <c r="A1012" t="s">
        <v>2</v>
      </c>
      <c r="B1012" t="s">
        <v>4</v>
      </c>
      <c r="C1012">
        <v>0</v>
      </c>
      <c r="D1012">
        <v>6</v>
      </c>
      <c r="E1012" s="24">
        <v>537956073900</v>
      </c>
      <c r="F1012">
        <f t="shared" si="15"/>
        <v>9</v>
      </c>
    </row>
    <row r="1013" spans="1:6" x14ac:dyDescent="0.3">
      <c r="A1013" t="s">
        <v>2</v>
      </c>
      <c r="B1013" t="s">
        <v>3</v>
      </c>
      <c r="C1013">
        <v>0</v>
      </c>
      <c r="D1013">
        <v>6</v>
      </c>
      <c r="E1013" s="24">
        <v>594375400</v>
      </c>
      <c r="F1013">
        <f t="shared" si="15"/>
        <v>0</v>
      </c>
    </row>
    <row r="1014" spans="1:6" x14ac:dyDescent="0.3">
      <c r="A1014" t="s">
        <v>2</v>
      </c>
      <c r="B1014" t="s">
        <v>3</v>
      </c>
      <c r="C1014">
        <v>0</v>
      </c>
      <c r="D1014">
        <v>6</v>
      </c>
      <c r="E1014" s="24">
        <v>1882242100</v>
      </c>
      <c r="F1014">
        <f t="shared" si="15"/>
        <v>0</v>
      </c>
    </row>
    <row r="1015" spans="1:6" x14ac:dyDescent="0.3">
      <c r="A1015" t="s">
        <v>2</v>
      </c>
      <c r="B1015" t="s">
        <v>3</v>
      </c>
      <c r="C1015">
        <v>0</v>
      </c>
      <c r="D1015">
        <v>6</v>
      </c>
      <c r="E1015" s="24">
        <v>1902156400</v>
      </c>
      <c r="F1015">
        <f t="shared" si="15"/>
        <v>0</v>
      </c>
    </row>
    <row r="1016" spans="1:6" x14ac:dyDescent="0.3">
      <c r="A1016" t="s">
        <v>2</v>
      </c>
      <c r="B1016" t="s">
        <v>3</v>
      </c>
      <c r="C1016">
        <v>0</v>
      </c>
      <c r="D1016">
        <v>6</v>
      </c>
      <c r="E1016" s="24">
        <v>3100888400</v>
      </c>
      <c r="F1016">
        <f t="shared" si="15"/>
        <v>0.1</v>
      </c>
    </row>
    <row r="1017" spans="1:6" x14ac:dyDescent="0.3">
      <c r="A1017" t="s">
        <v>2</v>
      </c>
      <c r="B1017" t="s">
        <v>3</v>
      </c>
      <c r="C1017">
        <v>0</v>
      </c>
      <c r="D1017">
        <v>6</v>
      </c>
      <c r="E1017" s="24">
        <v>3066821700</v>
      </c>
      <c r="F1017">
        <f t="shared" si="15"/>
        <v>0.1</v>
      </c>
    </row>
    <row r="1018" spans="1:6" x14ac:dyDescent="0.3">
      <c r="A1018" t="s">
        <v>2</v>
      </c>
      <c r="B1018" t="s">
        <v>5</v>
      </c>
      <c r="C1018">
        <v>0</v>
      </c>
      <c r="D1018">
        <v>6</v>
      </c>
      <c r="E1018" s="24">
        <v>329593662200</v>
      </c>
      <c r="F1018">
        <f t="shared" si="15"/>
        <v>5.5</v>
      </c>
    </row>
    <row r="1019" spans="1:6" x14ac:dyDescent="0.3">
      <c r="A1019" t="s">
        <v>2</v>
      </c>
      <c r="B1019" t="s">
        <v>5</v>
      </c>
      <c r="C1019">
        <v>0</v>
      </c>
      <c r="D1019">
        <v>6</v>
      </c>
      <c r="E1019" s="24">
        <v>311546559700</v>
      </c>
      <c r="F1019">
        <f t="shared" si="15"/>
        <v>5.2</v>
      </c>
    </row>
    <row r="1020" spans="1:6" x14ac:dyDescent="0.3">
      <c r="A1020" t="s">
        <v>2</v>
      </c>
      <c r="B1020" t="s">
        <v>5</v>
      </c>
      <c r="C1020">
        <v>0</v>
      </c>
      <c r="D1020">
        <v>6</v>
      </c>
      <c r="E1020" s="24">
        <v>322987688300</v>
      </c>
      <c r="F1020">
        <f t="shared" si="15"/>
        <v>5.4</v>
      </c>
    </row>
    <row r="1021" spans="1:6" x14ac:dyDescent="0.3">
      <c r="A1021" t="s">
        <v>2</v>
      </c>
      <c r="B1021" t="s">
        <v>5</v>
      </c>
      <c r="C1021">
        <v>0</v>
      </c>
      <c r="D1021">
        <v>6</v>
      </c>
      <c r="E1021" s="24">
        <v>364878958200</v>
      </c>
      <c r="F1021">
        <f t="shared" si="15"/>
        <v>6.1</v>
      </c>
    </row>
    <row r="1022" spans="1:6" x14ac:dyDescent="0.3">
      <c r="A1022" t="s">
        <v>2</v>
      </c>
      <c r="B1022" t="s">
        <v>5</v>
      </c>
      <c r="C1022">
        <v>0</v>
      </c>
      <c r="D1022">
        <v>6</v>
      </c>
      <c r="E1022" s="24">
        <v>389942137400</v>
      </c>
      <c r="F1022">
        <f t="shared" si="15"/>
        <v>6.5</v>
      </c>
    </row>
    <row r="1023" spans="1:6" x14ac:dyDescent="0.3">
      <c r="A1023" t="s">
        <v>2</v>
      </c>
      <c r="B1023" t="s">
        <v>5</v>
      </c>
      <c r="C1023">
        <v>0</v>
      </c>
      <c r="D1023">
        <v>6</v>
      </c>
      <c r="E1023" s="24">
        <v>381138026900</v>
      </c>
      <c r="F1023">
        <f t="shared" si="15"/>
        <v>6.4</v>
      </c>
    </row>
    <row r="1024" spans="1:6" x14ac:dyDescent="0.3">
      <c r="A1024" t="s">
        <v>2</v>
      </c>
      <c r="B1024" t="s">
        <v>5</v>
      </c>
      <c r="C1024">
        <v>0</v>
      </c>
      <c r="D1024">
        <v>6</v>
      </c>
      <c r="E1024" s="24">
        <v>379099522300</v>
      </c>
      <c r="F1024">
        <f t="shared" si="15"/>
        <v>6.3</v>
      </c>
    </row>
    <row r="1025" spans="1:6" x14ac:dyDescent="0.3">
      <c r="A1025" t="s">
        <v>2</v>
      </c>
      <c r="B1025" t="s">
        <v>5</v>
      </c>
      <c r="C1025">
        <v>0</v>
      </c>
      <c r="D1025">
        <v>6</v>
      </c>
      <c r="E1025" s="24">
        <v>407922673600</v>
      </c>
      <c r="F1025">
        <f t="shared" si="15"/>
        <v>6.8</v>
      </c>
    </row>
    <row r="1026" spans="1:6" x14ac:dyDescent="0.3">
      <c r="A1026" t="s">
        <v>2</v>
      </c>
      <c r="B1026" t="s">
        <v>5</v>
      </c>
      <c r="C1026">
        <v>0</v>
      </c>
      <c r="D1026">
        <v>6</v>
      </c>
      <c r="E1026" s="24">
        <v>330420763500</v>
      </c>
      <c r="F1026">
        <f t="shared" ref="F1026:F1089" si="16">ROUND(E1026/60000000000, 1)</f>
        <v>5.5</v>
      </c>
    </row>
    <row r="1027" spans="1:6" x14ac:dyDescent="0.3">
      <c r="A1027" t="s">
        <v>2</v>
      </c>
      <c r="B1027" t="s">
        <v>5</v>
      </c>
      <c r="C1027">
        <v>0</v>
      </c>
      <c r="D1027">
        <v>6</v>
      </c>
      <c r="E1027" s="24">
        <v>925383171900</v>
      </c>
      <c r="F1027">
        <f t="shared" si="16"/>
        <v>15.4</v>
      </c>
    </row>
    <row r="1028" spans="1:6" x14ac:dyDescent="0.3">
      <c r="A1028" t="s">
        <v>2</v>
      </c>
      <c r="B1028" t="s">
        <v>5</v>
      </c>
      <c r="C1028">
        <v>0</v>
      </c>
      <c r="D1028">
        <v>6</v>
      </c>
      <c r="E1028" s="24">
        <v>1201157982700</v>
      </c>
      <c r="F1028">
        <f t="shared" si="16"/>
        <v>20</v>
      </c>
    </row>
    <row r="1029" spans="1:6" x14ac:dyDescent="0.3">
      <c r="A1029" t="s">
        <v>2</v>
      </c>
      <c r="B1029" t="s">
        <v>5</v>
      </c>
      <c r="C1029">
        <v>0</v>
      </c>
      <c r="D1029">
        <v>6</v>
      </c>
      <c r="E1029" s="24">
        <v>1366212909400</v>
      </c>
      <c r="F1029">
        <f t="shared" si="16"/>
        <v>22.8</v>
      </c>
    </row>
    <row r="1030" spans="1:6" x14ac:dyDescent="0.3">
      <c r="A1030" t="s">
        <v>2</v>
      </c>
      <c r="B1030" t="s">
        <v>5</v>
      </c>
      <c r="C1030">
        <v>0</v>
      </c>
      <c r="D1030">
        <v>6</v>
      </c>
      <c r="E1030" s="24">
        <v>2052973180000</v>
      </c>
      <c r="F1030">
        <f t="shared" si="16"/>
        <v>34.200000000000003</v>
      </c>
    </row>
    <row r="1031" spans="1:6" x14ac:dyDescent="0.3">
      <c r="A1031" t="s">
        <v>2</v>
      </c>
      <c r="B1031" t="s">
        <v>1</v>
      </c>
      <c r="C1031">
        <v>0</v>
      </c>
      <c r="D1031">
        <v>6</v>
      </c>
      <c r="E1031" s="24">
        <v>732338900</v>
      </c>
      <c r="F1031">
        <f t="shared" si="16"/>
        <v>0</v>
      </c>
    </row>
    <row r="1032" spans="1:6" x14ac:dyDescent="0.3">
      <c r="A1032" t="s">
        <v>2</v>
      </c>
      <c r="B1032" t="s">
        <v>1</v>
      </c>
      <c r="C1032">
        <v>0</v>
      </c>
      <c r="D1032">
        <v>6</v>
      </c>
      <c r="E1032" s="24">
        <v>1156402400</v>
      </c>
      <c r="F1032">
        <f t="shared" si="16"/>
        <v>0</v>
      </c>
    </row>
    <row r="1033" spans="1:6" x14ac:dyDescent="0.3">
      <c r="A1033" t="s">
        <v>2</v>
      </c>
      <c r="B1033" t="s">
        <v>1</v>
      </c>
      <c r="C1033">
        <v>0</v>
      </c>
      <c r="D1033">
        <v>6</v>
      </c>
      <c r="E1033" s="24">
        <v>1522103000</v>
      </c>
      <c r="F1033">
        <f t="shared" si="16"/>
        <v>0</v>
      </c>
    </row>
    <row r="1034" spans="1:6" x14ac:dyDescent="0.3">
      <c r="A1034" t="s">
        <v>2</v>
      </c>
      <c r="B1034" t="s">
        <v>1</v>
      </c>
      <c r="C1034">
        <v>0</v>
      </c>
      <c r="D1034">
        <v>6</v>
      </c>
      <c r="E1034" s="24">
        <v>1895419000</v>
      </c>
      <c r="F1034">
        <f t="shared" si="16"/>
        <v>0</v>
      </c>
    </row>
    <row r="1035" spans="1:6" x14ac:dyDescent="0.3">
      <c r="A1035" t="s">
        <v>2</v>
      </c>
      <c r="B1035" t="s">
        <v>1</v>
      </c>
      <c r="C1035">
        <v>0</v>
      </c>
      <c r="D1035">
        <v>6</v>
      </c>
      <c r="E1035" s="24">
        <v>1165967500</v>
      </c>
      <c r="F1035">
        <f t="shared" si="16"/>
        <v>0</v>
      </c>
    </row>
    <row r="1036" spans="1:6" x14ac:dyDescent="0.3">
      <c r="A1036" t="s">
        <v>2</v>
      </c>
      <c r="B1036" t="s">
        <v>10</v>
      </c>
      <c r="C1036">
        <v>1</v>
      </c>
      <c r="D1036">
        <v>6</v>
      </c>
      <c r="E1036" s="24">
        <v>294253200</v>
      </c>
      <c r="F1036">
        <f t="shared" si="16"/>
        <v>0</v>
      </c>
    </row>
    <row r="1037" spans="1:6" x14ac:dyDescent="0.3">
      <c r="A1037" t="s">
        <v>2</v>
      </c>
      <c r="B1037" t="s">
        <v>10</v>
      </c>
      <c r="C1037">
        <v>0</v>
      </c>
      <c r="D1037">
        <v>6</v>
      </c>
      <c r="E1037" s="24">
        <v>724757700</v>
      </c>
      <c r="F1037">
        <f t="shared" si="16"/>
        <v>0</v>
      </c>
    </row>
    <row r="1038" spans="1:6" x14ac:dyDescent="0.3">
      <c r="A1038" t="s">
        <v>2</v>
      </c>
      <c r="B1038" t="s">
        <v>10</v>
      </c>
      <c r="C1038">
        <v>0</v>
      </c>
      <c r="D1038">
        <v>6</v>
      </c>
      <c r="E1038" s="24">
        <v>1976529500</v>
      </c>
      <c r="F1038">
        <f t="shared" si="16"/>
        <v>0</v>
      </c>
    </row>
    <row r="1039" spans="1:6" x14ac:dyDescent="0.3">
      <c r="A1039" t="s">
        <v>2</v>
      </c>
      <c r="B1039" t="s">
        <v>10</v>
      </c>
      <c r="C1039">
        <v>0</v>
      </c>
      <c r="D1039">
        <v>6</v>
      </c>
      <c r="E1039" s="24">
        <v>1523781500</v>
      </c>
      <c r="F1039">
        <f t="shared" si="16"/>
        <v>0</v>
      </c>
    </row>
    <row r="1040" spans="1:6" x14ac:dyDescent="0.3">
      <c r="A1040" t="s">
        <v>2</v>
      </c>
      <c r="B1040" t="s">
        <v>10</v>
      </c>
      <c r="C1040">
        <v>0</v>
      </c>
      <c r="D1040">
        <v>6</v>
      </c>
      <c r="E1040" s="24">
        <v>1742454100</v>
      </c>
      <c r="F1040">
        <f t="shared" si="16"/>
        <v>0</v>
      </c>
    </row>
    <row r="1041" spans="1:6" x14ac:dyDescent="0.3">
      <c r="A1041" t="s">
        <v>10</v>
      </c>
      <c r="B1041" t="s">
        <v>4</v>
      </c>
      <c r="C1041">
        <v>1</v>
      </c>
      <c r="D1041">
        <v>6</v>
      </c>
      <c r="E1041" s="24">
        <v>135692526900</v>
      </c>
      <c r="F1041">
        <f t="shared" si="16"/>
        <v>2.2999999999999998</v>
      </c>
    </row>
    <row r="1042" spans="1:6" x14ac:dyDescent="0.3">
      <c r="A1042" t="s">
        <v>10</v>
      </c>
      <c r="B1042" t="s">
        <v>4</v>
      </c>
      <c r="C1042">
        <v>1</v>
      </c>
      <c r="D1042">
        <v>6</v>
      </c>
      <c r="E1042" s="24">
        <v>461911978800</v>
      </c>
      <c r="F1042">
        <f t="shared" si="16"/>
        <v>7.7</v>
      </c>
    </row>
    <row r="1043" spans="1:6" x14ac:dyDescent="0.3">
      <c r="A1043" t="s">
        <v>10</v>
      </c>
      <c r="B1043" t="s">
        <v>4</v>
      </c>
      <c r="C1043">
        <v>1</v>
      </c>
      <c r="D1043">
        <v>6</v>
      </c>
      <c r="E1043" s="24">
        <v>550137210100</v>
      </c>
      <c r="F1043">
        <f t="shared" si="16"/>
        <v>9.1999999999999993</v>
      </c>
    </row>
    <row r="1044" spans="1:6" x14ac:dyDescent="0.3">
      <c r="A1044" t="s">
        <v>10</v>
      </c>
      <c r="B1044" t="s">
        <v>4</v>
      </c>
      <c r="C1044">
        <v>1</v>
      </c>
      <c r="D1044">
        <v>6</v>
      </c>
      <c r="E1044" s="24">
        <v>571583285800</v>
      </c>
      <c r="F1044">
        <f t="shared" si="16"/>
        <v>9.5</v>
      </c>
    </row>
    <row r="1045" spans="1:6" x14ac:dyDescent="0.3">
      <c r="A1045" t="s">
        <v>10</v>
      </c>
      <c r="B1045" t="s">
        <v>4</v>
      </c>
      <c r="C1045">
        <v>0</v>
      </c>
      <c r="D1045">
        <v>6</v>
      </c>
      <c r="E1045" s="24">
        <v>429247564900</v>
      </c>
      <c r="F1045">
        <f t="shared" si="16"/>
        <v>7.2</v>
      </c>
    </row>
    <row r="1046" spans="1:6" x14ac:dyDescent="0.3">
      <c r="A1046" t="s">
        <v>10</v>
      </c>
      <c r="B1046" t="s">
        <v>3</v>
      </c>
      <c r="C1046">
        <v>0</v>
      </c>
      <c r="D1046">
        <v>6</v>
      </c>
      <c r="E1046" s="24">
        <v>1904324401</v>
      </c>
      <c r="F1046">
        <f t="shared" si="16"/>
        <v>0</v>
      </c>
    </row>
    <row r="1047" spans="1:6" x14ac:dyDescent="0.3">
      <c r="A1047" t="s">
        <v>10</v>
      </c>
      <c r="B1047" t="s">
        <v>3</v>
      </c>
      <c r="C1047">
        <v>1</v>
      </c>
      <c r="D1047">
        <v>6</v>
      </c>
      <c r="E1047" s="24">
        <v>639311900</v>
      </c>
      <c r="F1047">
        <f t="shared" si="16"/>
        <v>0</v>
      </c>
    </row>
    <row r="1048" spans="1:6" x14ac:dyDescent="0.3">
      <c r="A1048" t="s">
        <v>10</v>
      </c>
      <c r="B1048" t="s">
        <v>3</v>
      </c>
      <c r="C1048">
        <v>0</v>
      </c>
      <c r="D1048">
        <v>6</v>
      </c>
      <c r="E1048" s="24">
        <v>1219467900</v>
      </c>
      <c r="F1048">
        <f t="shared" si="16"/>
        <v>0</v>
      </c>
    </row>
    <row r="1049" spans="1:6" x14ac:dyDescent="0.3">
      <c r="A1049" t="s">
        <v>10</v>
      </c>
      <c r="B1049" t="s">
        <v>3</v>
      </c>
      <c r="C1049">
        <v>0</v>
      </c>
      <c r="D1049">
        <v>6</v>
      </c>
      <c r="E1049" s="24">
        <v>1290801800</v>
      </c>
      <c r="F1049">
        <f t="shared" si="16"/>
        <v>0</v>
      </c>
    </row>
    <row r="1050" spans="1:6" x14ac:dyDescent="0.3">
      <c r="A1050" t="s">
        <v>10</v>
      </c>
      <c r="B1050" t="s">
        <v>3</v>
      </c>
      <c r="C1050">
        <v>0</v>
      </c>
      <c r="D1050">
        <v>6</v>
      </c>
      <c r="E1050" s="24">
        <v>2015297600</v>
      </c>
      <c r="F1050">
        <f t="shared" si="16"/>
        <v>0</v>
      </c>
    </row>
    <row r="1051" spans="1:6" x14ac:dyDescent="0.3">
      <c r="A1051" t="s">
        <v>10</v>
      </c>
      <c r="B1051" t="s">
        <v>3</v>
      </c>
      <c r="C1051">
        <v>0</v>
      </c>
      <c r="D1051">
        <v>6</v>
      </c>
      <c r="E1051" s="24">
        <v>2168173400</v>
      </c>
      <c r="F1051">
        <f t="shared" si="16"/>
        <v>0</v>
      </c>
    </row>
    <row r="1052" spans="1:6" x14ac:dyDescent="0.3">
      <c r="A1052" t="s">
        <v>10</v>
      </c>
      <c r="B1052" t="s">
        <v>5</v>
      </c>
      <c r="C1052">
        <v>0</v>
      </c>
      <c r="D1052">
        <v>6</v>
      </c>
      <c r="E1052" s="24">
        <v>866078797001</v>
      </c>
      <c r="F1052">
        <f t="shared" si="16"/>
        <v>14.4</v>
      </c>
    </row>
    <row r="1053" spans="1:6" x14ac:dyDescent="0.3">
      <c r="A1053" t="s">
        <v>10</v>
      </c>
      <c r="B1053" t="s">
        <v>5</v>
      </c>
      <c r="C1053">
        <v>0</v>
      </c>
      <c r="D1053">
        <v>6</v>
      </c>
      <c r="E1053" s="24">
        <v>992875570900</v>
      </c>
      <c r="F1053">
        <f t="shared" si="16"/>
        <v>16.5</v>
      </c>
    </row>
    <row r="1054" spans="1:6" x14ac:dyDescent="0.3">
      <c r="A1054" t="s">
        <v>10</v>
      </c>
      <c r="B1054" t="s">
        <v>5</v>
      </c>
      <c r="C1054">
        <v>0</v>
      </c>
      <c r="D1054">
        <v>6</v>
      </c>
      <c r="E1054" s="24">
        <v>1054501405500</v>
      </c>
      <c r="F1054">
        <f t="shared" si="16"/>
        <v>17.600000000000001</v>
      </c>
    </row>
    <row r="1055" spans="1:6" x14ac:dyDescent="0.3">
      <c r="A1055" t="s">
        <v>10</v>
      </c>
      <c r="B1055" t="s">
        <v>5</v>
      </c>
      <c r="C1055">
        <v>1</v>
      </c>
      <c r="D1055">
        <v>6</v>
      </c>
      <c r="E1055" s="24">
        <v>1171273088700</v>
      </c>
      <c r="F1055">
        <f t="shared" si="16"/>
        <v>19.5</v>
      </c>
    </row>
    <row r="1056" spans="1:6" x14ac:dyDescent="0.3">
      <c r="A1056" t="s">
        <v>10</v>
      </c>
      <c r="B1056" t="s">
        <v>5</v>
      </c>
      <c r="C1056">
        <v>1</v>
      </c>
      <c r="D1056">
        <v>6</v>
      </c>
      <c r="E1056" s="24">
        <v>1184330111900</v>
      </c>
      <c r="F1056">
        <f t="shared" si="16"/>
        <v>19.7</v>
      </c>
    </row>
    <row r="1057" spans="1:6" x14ac:dyDescent="0.3">
      <c r="A1057" t="s">
        <v>10</v>
      </c>
      <c r="B1057" t="s">
        <v>5</v>
      </c>
      <c r="C1057">
        <v>1</v>
      </c>
      <c r="D1057">
        <v>6</v>
      </c>
      <c r="E1057" s="24">
        <v>1272299081000</v>
      </c>
      <c r="F1057">
        <f t="shared" si="16"/>
        <v>21.2</v>
      </c>
    </row>
    <row r="1058" spans="1:6" x14ac:dyDescent="0.3">
      <c r="A1058" t="s">
        <v>10</v>
      </c>
      <c r="B1058" t="s">
        <v>5</v>
      </c>
      <c r="C1058">
        <v>0</v>
      </c>
      <c r="D1058">
        <v>6</v>
      </c>
      <c r="E1058" s="24">
        <v>917394517900</v>
      </c>
      <c r="F1058">
        <f t="shared" si="16"/>
        <v>15.3</v>
      </c>
    </row>
    <row r="1059" spans="1:6" x14ac:dyDescent="0.3">
      <c r="A1059" t="s">
        <v>10</v>
      </c>
      <c r="B1059" t="s">
        <v>5</v>
      </c>
      <c r="C1059">
        <v>0</v>
      </c>
      <c r="D1059">
        <v>6</v>
      </c>
      <c r="E1059" s="24">
        <v>354276481000</v>
      </c>
      <c r="F1059">
        <f t="shared" si="16"/>
        <v>5.9</v>
      </c>
    </row>
    <row r="1060" spans="1:6" x14ac:dyDescent="0.3">
      <c r="A1060" t="s">
        <v>10</v>
      </c>
      <c r="B1060" t="s">
        <v>5</v>
      </c>
      <c r="C1060">
        <v>0</v>
      </c>
      <c r="D1060">
        <v>6</v>
      </c>
      <c r="E1060" s="24">
        <v>312968492799</v>
      </c>
      <c r="F1060">
        <f t="shared" si="16"/>
        <v>5.2</v>
      </c>
    </row>
    <row r="1061" spans="1:6" x14ac:dyDescent="0.3">
      <c r="A1061" t="s">
        <v>10</v>
      </c>
      <c r="B1061" t="s">
        <v>5</v>
      </c>
      <c r="C1061">
        <v>0</v>
      </c>
      <c r="D1061">
        <v>6</v>
      </c>
      <c r="E1061" s="24">
        <v>342448981200</v>
      </c>
      <c r="F1061">
        <f t="shared" si="16"/>
        <v>5.7</v>
      </c>
    </row>
    <row r="1062" spans="1:6" x14ac:dyDescent="0.3">
      <c r="A1062" t="s">
        <v>10</v>
      </c>
      <c r="B1062" t="s">
        <v>5</v>
      </c>
      <c r="C1062">
        <v>1</v>
      </c>
      <c r="D1062">
        <v>6</v>
      </c>
      <c r="E1062" s="24">
        <v>402928258500</v>
      </c>
      <c r="F1062">
        <f t="shared" si="16"/>
        <v>6.7</v>
      </c>
    </row>
    <row r="1063" spans="1:6" x14ac:dyDescent="0.3">
      <c r="A1063" t="s">
        <v>10</v>
      </c>
      <c r="B1063" t="s">
        <v>5</v>
      </c>
      <c r="C1063">
        <v>0</v>
      </c>
      <c r="D1063">
        <v>6</v>
      </c>
      <c r="E1063" s="24">
        <v>383282214300</v>
      </c>
      <c r="F1063">
        <f t="shared" si="16"/>
        <v>6.4</v>
      </c>
    </row>
    <row r="1064" spans="1:6" x14ac:dyDescent="0.3">
      <c r="A1064" t="s">
        <v>10</v>
      </c>
      <c r="B1064" t="s">
        <v>5</v>
      </c>
      <c r="C1064">
        <v>1</v>
      </c>
      <c r="D1064">
        <v>6</v>
      </c>
      <c r="E1064" s="24">
        <v>493944206500</v>
      </c>
      <c r="F1064">
        <f t="shared" si="16"/>
        <v>8.1999999999999993</v>
      </c>
    </row>
    <row r="1065" spans="1:6" x14ac:dyDescent="0.3">
      <c r="A1065" t="s">
        <v>10</v>
      </c>
      <c r="B1065" t="s">
        <v>5</v>
      </c>
      <c r="C1065">
        <v>1</v>
      </c>
      <c r="D1065">
        <v>6</v>
      </c>
      <c r="E1065" s="24">
        <v>436636536600</v>
      </c>
      <c r="F1065">
        <f t="shared" si="16"/>
        <v>7.3</v>
      </c>
    </row>
    <row r="1066" spans="1:6" x14ac:dyDescent="0.3">
      <c r="A1066" t="s">
        <v>10</v>
      </c>
      <c r="B1066" t="s">
        <v>5</v>
      </c>
      <c r="C1066">
        <v>0</v>
      </c>
      <c r="D1066">
        <v>6</v>
      </c>
      <c r="E1066" s="24">
        <v>426454545100</v>
      </c>
      <c r="F1066">
        <f t="shared" si="16"/>
        <v>7.1</v>
      </c>
    </row>
    <row r="1067" spans="1:6" x14ac:dyDescent="0.3">
      <c r="A1067" t="s">
        <v>10</v>
      </c>
      <c r="B1067" t="s">
        <v>5</v>
      </c>
      <c r="C1067">
        <v>0</v>
      </c>
      <c r="D1067">
        <v>6</v>
      </c>
      <c r="E1067" s="24">
        <v>427996802300</v>
      </c>
      <c r="F1067">
        <f t="shared" si="16"/>
        <v>7.1</v>
      </c>
    </row>
    <row r="1068" spans="1:6" x14ac:dyDescent="0.3">
      <c r="A1068" t="s">
        <v>10</v>
      </c>
      <c r="B1068" t="s">
        <v>5</v>
      </c>
      <c r="C1068">
        <v>0</v>
      </c>
      <c r="D1068">
        <v>6</v>
      </c>
      <c r="E1068" s="24">
        <v>882850436000</v>
      </c>
      <c r="F1068">
        <f t="shared" si="16"/>
        <v>14.7</v>
      </c>
    </row>
    <row r="1069" spans="1:6" x14ac:dyDescent="0.3">
      <c r="A1069" t="s">
        <v>10</v>
      </c>
      <c r="B1069" t="s">
        <v>5</v>
      </c>
      <c r="C1069">
        <v>0</v>
      </c>
      <c r="D1069">
        <v>6</v>
      </c>
      <c r="E1069" s="24">
        <v>1018275979800</v>
      </c>
      <c r="F1069">
        <f t="shared" si="16"/>
        <v>17</v>
      </c>
    </row>
    <row r="1070" spans="1:6" x14ac:dyDescent="0.3">
      <c r="A1070" t="s">
        <v>10</v>
      </c>
      <c r="B1070" t="s">
        <v>5</v>
      </c>
      <c r="C1070">
        <v>1</v>
      </c>
      <c r="D1070">
        <v>6</v>
      </c>
      <c r="E1070" s="24">
        <v>1283661955900</v>
      </c>
      <c r="F1070">
        <f t="shared" si="16"/>
        <v>21.4</v>
      </c>
    </row>
    <row r="1071" spans="1:6" x14ac:dyDescent="0.3">
      <c r="A1071" t="s">
        <v>10</v>
      </c>
      <c r="B1071" t="s">
        <v>5</v>
      </c>
      <c r="C1071">
        <v>0</v>
      </c>
      <c r="D1071">
        <v>6</v>
      </c>
      <c r="E1071" s="24">
        <v>815262363500</v>
      </c>
      <c r="F1071">
        <f t="shared" si="16"/>
        <v>13.6</v>
      </c>
    </row>
    <row r="1072" spans="1:6" x14ac:dyDescent="0.3">
      <c r="A1072" t="s">
        <v>10</v>
      </c>
      <c r="B1072" t="s">
        <v>5</v>
      </c>
      <c r="C1072">
        <v>0</v>
      </c>
      <c r="D1072">
        <v>6</v>
      </c>
      <c r="E1072" s="24">
        <v>994674540300</v>
      </c>
      <c r="F1072">
        <f t="shared" si="16"/>
        <v>16.600000000000001</v>
      </c>
    </row>
    <row r="1073" spans="1:6" x14ac:dyDescent="0.3">
      <c r="A1073" t="s">
        <v>10</v>
      </c>
      <c r="B1073" t="s">
        <v>5</v>
      </c>
      <c r="C1073">
        <v>0</v>
      </c>
      <c r="D1073">
        <v>6</v>
      </c>
      <c r="E1073" s="24">
        <v>1220178730000</v>
      </c>
      <c r="F1073">
        <f t="shared" si="16"/>
        <v>20.3</v>
      </c>
    </row>
    <row r="1074" spans="1:6" x14ac:dyDescent="0.3">
      <c r="A1074" t="s">
        <v>10</v>
      </c>
      <c r="B1074" t="s">
        <v>5</v>
      </c>
      <c r="C1074">
        <v>1</v>
      </c>
      <c r="D1074">
        <v>6</v>
      </c>
      <c r="E1074" s="24">
        <v>1374718718800</v>
      </c>
      <c r="F1074">
        <f t="shared" si="16"/>
        <v>22.9</v>
      </c>
    </row>
    <row r="1075" spans="1:6" x14ac:dyDescent="0.3">
      <c r="A1075" t="s">
        <v>10</v>
      </c>
      <c r="B1075" t="s">
        <v>1</v>
      </c>
      <c r="C1075">
        <v>0</v>
      </c>
      <c r="D1075">
        <v>6</v>
      </c>
      <c r="E1075" s="24">
        <v>1502045500</v>
      </c>
      <c r="F1075">
        <f t="shared" si="16"/>
        <v>0</v>
      </c>
    </row>
    <row r="1076" spans="1:6" x14ac:dyDescent="0.3">
      <c r="A1076" t="s">
        <v>10</v>
      </c>
      <c r="B1076" t="s">
        <v>1</v>
      </c>
      <c r="C1076">
        <v>1</v>
      </c>
      <c r="D1076">
        <v>6</v>
      </c>
      <c r="E1076" s="24">
        <v>1140253200</v>
      </c>
      <c r="F1076">
        <f t="shared" si="16"/>
        <v>0</v>
      </c>
    </row>
    <row r="1077" spans="1:6" x14ac:dyDescent="0.3">
      <c r="A1077" t="s">
        <v>10</v>
      </c>
      <c r="B1077" t="s">
        <v>1</v>
      </c>
      <c r="C1077">
        <v>0</v>
      </c>
      <c r="D1077">
        <v>6</v>
      </c>
      <c r="E1077" s="24">
        <v>1107668300</v>
      </c>
      <c r="F1077">
        <f t="shared" si="16"/>
        <v>0</v>
      </c>
    </row>
    <row r="1078" spans="1:6" x14ac:dyDescent="0.3">
      <c r="A1078" t="s">
        <v>10</v>
      </c>
      <c r="B1078" t="s">
        <v>1</v>
      </c>
      <c r="C1078">
        <v>0</v>
      </c>
      <c r="D1078">
        <v>6</v>
      </c>
      <c r="E1078" s="24">
        <v>1978945100</v>
      </c>
      <c r="F1078">
        <f t="shared" si="16"/>
        <v>0</v>
      </c>
    </row>
    <row r="1079" spans="1:6" x14ac:dyDescent="0.3">
      <c r="A1079" t="s">
        <v>10</v>
      </c>
      <c r="B1079" t="s">
        <v>1</v>
      </c>
      <c r="C1079">
        <v>0</v>
      </c>
      <c r="D1079">
        <v>6</v>
      </c>
      <c r="E1079" s="24">
        <v>1797074700</v>
      </c>
      <c r="F1079">
        <f t="shared" si="16"/>
        <v>0</v>
      </c>
    </row>
    <row r="1080" spans="1:6" x14ac:dyDescent="0.3">
      <c r="A1080" t="s">
        <v>10</v>
      </c>
      <c r="B1080" t="s">
        <v>1</v>
      </c>
      <c r="C1080">
        <v>0</v>
      </c>
      <c r="D1080">
        <v>6</v>
      </c>
      <c r="E1080" s="24">
        <v>3057098700</v>
      </c>
      <c r="F1080">
        <f t="shared" si="16"/>
        <v>0.1</v>
      </c>
    </row>
    <row r="1081" spans="1:6" x14ac:dyDescent="0.3">
      <c r="A1081" t="s">
        <v>10</v>
      </c>
      <c r="B1081" t="s">
        <v>2</v>
      </c>
      <c r="C1081">
        <v>1</v>
      </c>
      <c r="D1081">
        <v>6</v>
      </c>
      <c r="E1081" s="24">
        <v>185095100</v>
      </c>
      <c r="F1081">
        <f t="shared" si="16"/>
        <v>0</v>
      </c>
    </row>
    <row r="1082" spans="1:6" x14ac:dyDescent="0.3">
      <c r="A1082" t="s">
        <v>10</v>
      </c>
      <c r="B1082" t="s">
        <v>2</v>
      </c>
      <c r="C1082">
        <v>1</v>
      </c>
      <c r="D1082">
        <v>6</v>
      </c>
      <c r="E1082" s="24">
        <v>1043010900</v>
      </c>
      <c r="F1082">
        <f t="shared" si="16"/>
        <v>0</v>
      </c>
    </row>
    <row r="1083" spans="1:6" x14ac:dyDescent="0.3">
      <c r="A1083" t="s">
        <v>10</v>
      </c>
      <c r="B1083" t="s">
        <v>2</v>
      </c>
      <c r="C1083">
        <v>1</v>
      </c>
      <c r="D1083">
        <v>6</v>
      </c>
      <c r="E1083" s="24">
        <v>1361705000</v>
      </c>
      <c r="F1083">
        <f t="shared" si="16"/>
        <v>0</v>
      </c>
    </row>
    <row r="1084" spans="1:6" x14ac:dyDescent="0.3">
      <c r="A1084" t="s">
        <v>10</v>
      </c>
      <c r="B1084" t="s">
        <v>2</v>
      </c>
      <c r="C1084">
        <v>1</v>
      </c>
      <c r="D1084">
        <v>6</v>
      </c>
      <c r="E1084" s="24">
        <v>2089522900</v>
      </c>
      <c r="F1084">
        <f t="shared" si="16"/>
        <v>0</v>
      </c>
    </row>
    <row r="1085" spans="1:6" x14ac:dyDescent="0.3">
      <c r="A1085" t="s">
        <v>10</v>
      </c>
      <c r="B1085" t="s">
        <v>2</v>
      </c>
      <c r="C1085">
        <v>1</v>
      </c>
      <c r="D1085">
        <v>6</v>
      </c>
      <c r="E1085" s="24">
        <v>1160213200</v>
      </c>
      <c r="F1085">
        <f t="shared" si="16"/>
        <v>0</v>
      </c>
    </row>
  </sheetData>
  <pageMargins left="0.7" right="0.7" top="0.75" bottom="0.75" header="0.3" footer="0.3"/>
  <pageSetup paperSize="9" orientation="portrait" horizontalDpi="4294967293" verticalDpi="4294967293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N101"/>
  <sheetViews>
    <sheetView tabSelected="1" topLeftCell="A76" zoomScale="85" zoomScaleNormal="85" workbookViewId="0">
      <selection activeCell="B91" sqref="B91"/>
    </sheetView>
  </sheetViews>
  <sheetFormatPr defaultRowHeight="14.4" x14ac:dyDescent="0.3"/>
  <cols>
    <col min="1" max="1" width="8.33203125" customWidth="1"/>
    <col min="2" max="2" width="22.21875" customWidth="1"/>
    <col min="3" max="3" width="25" customWidth="1"/>
    <col min="4" max="4" width="23.44140625" customWidth="1"/>
    <col min="5" max="5" width="17.21875" customWidth="1"/>
    <col min="6" max="6" width="18.21875" customWidth="1"/>
    <col min="7" max="7" width="23" customWidth="1"/>
    <col min="8" max="8" width="22.6640625" customWidth="1"/>
    <col min="9" max="9" width="18" customWidth="1"/>
    <col min="10" max="10" width="19.77734375" customWidth="1"/>
    <col min="11" max="11" width="22.5546875" customWidth="1"/>
    <col min="12" max="12" width="17.5546875" customWidth="1"/>
    <col min="14" max="14" width="12" customWidth="1"/>
  </cols>
  <sheetData>
    <row r="2" spans="1:12" x14ac:dyDescent="0.3">
      <c r="C2" t="s">
        <v>13</v>
      </c>
    </row>
    <row r="3" spans="1:12" x14ac:dyDescent="0.3">
      <c r="B3" t="s">
        <v>12</v>
      </c>
      <c r="C3" s="19" t="s">
        <v>9</v>
      </c>
      <c r="D3" s="19" t="s">
        <v>6</v>
      </c>
      <c r="E3" s="19" t="s">
        <v>4</v>
      </c>
      <c r="F3" s="19" t="s">
        <v>3</v>
      </c>
      <c r="G3" s="19" t="s">
        <v>8</v>
      </c>
      <c r="H3" s="20" t="s">
        <v>7</v>
      </c>
      <c r="I3" s="19" t="s">
        <v>5</v>
      </c>
      <c r="J3" s="19" t="s">
        <v>1</v>
      </c>
      <c r="K3" s="19" t="s">
        <v>2</v>
      </c>
      <c r="L3" s="19" t="s">
        <v>10</v>
      </c>
    </row>
    <row r="4" spans="1:12" x14ac:dyDescent="0.3">
      <c r="A4" t="s">
        <v>14</v>
      </c>
      <c r="B4" s="1" t="s">
        <v>9</v>
      </c>
      <c r="C4" s="3">
        <f>COUNTIFS(Table1[Player-1],$B4,Table1[Player-2],C$3)</f>
        <v>0</v>
      </c>
      <c r="D4" s="3">
        <f>COUNTIFS(Table1[Player-1],$B4,Table1[Player-2],D$3)</f>
        <v>0</v>
      </c>
      <c r="E4" s="3">
        <f>COUNTIFS(Table1[Player-1],$B4,Table1[Player-2],E$3)</f>
        <v>1</v>
      </c>
      <c r="F4" s="3">
        <f>COUNTIFS(Table1[Player-1],$B4,Table1[Player-2],F$3)</f>
        <v>0</v>
      </c>
      <c r="G4" s="3">
        <f>COUNTIFS(Table1[Player-1],$B4,Table1[Player-2],G$3)</f>
        <v>1</v>
      </c>
      <c r="H4" s="3">
        <f>COUNTIFS(Table1[Player-1],$B4,Table1[Player-2],H$3)</f>
        <v>0</v>
      </c>
      <c r="I4" s="3">
        <f>COUNTIFS(Table1[Player-1],$B4,Table1[Player-2],I$3)</f>
        <v>1</v>
      </c>
      <c r="J4" s="3">
        <f>COUNTIFS(Table1[Player-1],$B4,Table1[Player-2],J$3)</f>
        <v>0</v>
      </c>
      <c r="K4" s="3">
        <f>COUNTIFS(Table1[Player-1],$B4,Table1[Player-2],K$3)</f>
        <v>1</v>
      </c>
      <c r="L4" s="3">
        <f>COUNTIFS(Table1[Player-1],$B4,Table1[Player-2],L$3)</f>
        <v>1</v>
      </c>
    </row>
    <row r="5" spans="1:12" x14ac:dyDescent="0.3">
      <c r="B5" s="1" t="s">
        <v>6</v>
      </c>
      <c r="C5" s="3">
        <f>COUNTIFS(Table1[Player-1],$B5,Table1[Player-2],C$3)</f>
        <v>0</v>
      </c>
      <c r="D5" s="3">
        <f>COUNTIFS(Table1[Player-1],$B5,Table1[Player-2],D$3)</f>
        <v>0</v>
      </c>
      <c r="E5" s="3">
        <f>COUNTIFS(Table1[Player-1],$B5,Table1[Player-2],E$3)</f>
        <v>2</v>
      </c>
      <c r="F5" s="3">
        <f>COUNTIFS(Table1[Player-1],$B5,Table1[Player-2],F$3)</f>
        <v>0</v>
      </c>
      <c r="G5" s="3">
        <f>COUNTIFS(Table1[Player-1],$B5,Table1[Player-2],G$3)</f>
        <v>1</v>
      </c>
      <c r="H5" s="3">
        <f>COUNTIFS(Table1[Player-1],$B5,Table1[Player-2],H$3)</f>
        <v>0</v>
      </c>
      <c r="I5" s="3">
        <f>COUNTIFS(Table1[Player-1],$B5,Table1[Player-2],I$3)</f>
        <v>3</v>
      </c>
      <c r="J5" s="3">
        <f>COUNTIFS(Table1[Player-1],$B5,Table1[Player-2],J$3)</f>
        <v>1</v>
      </c>
      <c r="K5" s="3">
        <f>COUNTIFS(Table1[Player-1],$B5,Table1[Player-2],K$3)</f>
        <v>0</v>
      </c>
      <c r="L5" s="3">
        <f>COUNTIFS(Table1[Player-1],$B5,Table1[Player-2],L$3)</f>
        <v>1</v>
      </c>
    </row>
    <row r="6" spans="1:12" x14ac:dyDescent="0.3">
      <c r="B6" s="1" t="s">
        <v>4</v>
      </c>
      <c r="C6" s="3">
        <f>COUNTIFS(Table1[Player-1],$B6,Table1[Player-2],C$3)</f>
        <v>1</v>
      </c>
      <c r="D6" s="3">
        <f>COUNTIFS(Table1[Player-1],$B6,Table1[Player-2],D$3)</f>
        <v>4</v>
      </c>
      <c r="E6" s="3">
        <f>COUNTIFS(Table1[Player-1],$B6,Table1[Player-2],E$3)</f>
        <v>0</v>
      </c>
      <c r="F6" s="3">
        <f>COUNTIFS(Table1[Player-1],$B6,Table1[Player-2],F$3)</f>
        <v>34</v>
      </c>
      <c r="G6" s="3">
        <f>COUNTIFS(Table1[Player-1],$B6,Table1[Player-2],G$3)</f>
        <v>3</v>
      </c>
      <c r="H6" s="3">
        <f>COUNTIFS(Table1[Player-1],$B6,Table1[Player-2],H$3)</f>
        <v>4</v>
      </c>
      <c r="I6" s="3">
        <f>COUNTIFS(Table1[Player-1],$B6,Table1[Player-2],I$3)</f>
        <v>59</v>
      </c>
      <c r="J6" s="3">
        <f>COUNTIFS(Table1[Player-1],$B6,Table1[Player-2],J$3)</f>
        <v>31</v>
      </c>
      <c r="K6" s="3">
        <f>COUNTIFS(Table1[Player-1],$B6,Table1[Player-2],K$3)</f>
        <v>33</v>
      </c>
      <c r="L6" s="3">
        <f>COUNTIFS(Table1[Player-1],$B6,Table1[Player-2],L$3)</f>
        <v>35</v>
      </c>
    </row>
    <row r="7" spans="1:12" x14ac:dyDescent="0.3">
      <c r="B7" s="1" t="s">
        <v>3</v>
      </c>
      <c r="C7" s="3">
        <f>COUNTIFS(Table1[Player-1],$B7,Table1[Player-2],C$3)</f>
        <v>0</v>
      </c>
      <c r="D7" s="3">
        <f>COUNTIFS(Table1[Player-1],$B7,Table1[Player-2],D$3)</f>
        <v>0</v>
      </c>
      <c r="E7" s="3">
        <f>COUNTIFS(Table1[Player-1],$B7,Table1[Player-2],E$3)</f>
        <v>16</v>
      </c>
      <c r="F7" s="3">
        <f>COUNTIFS(Table1[Player-1],$B7,Table1[Player-2],F$3)</f>
        <v>0</v>
      </c>
      <c r="G7" s="3">
        <f>COUNTIFS(Table1[Player-1],$B7,Table1[Player-2],G$3)</f>
        <v>0</v>
      </c>
      <c r="H7" s="3">
        <f>COUNTIFS(Table1[Player-1],$B7,Table1[Player-2],H$3)</f>
        <v>0</v>
      </c>
      <c r="I7" s="3">
        <f>COUNTIFS(Table1[Player-1],$B7,Table1[Player-2],I$3)</f>
        <v>74</v>
      </c>
      <c r="J7" s="3">
        <f>COUNTIFS(Table1[Player-1],$B7,Table1[Player-2],J$3)</f>
        <v>18</v>
      </c>
      <c r="K7" s="3">
        <f>COUNTIFS(Table1[Player-1],$B7,Table1[Player-2],K$3)</f>
        <v>15</v>
      </c>
      <c r="L7" s="3">
        <f>COUNTIFS(Table1[Player-1],$B7,Table1[Player-2],L$3)</f>
        <v>21</v>
      </c>
    </row>
    <row r="8" spans="1:12" x14ac:dyDescent="0.3">
      <c r="B8" s="1" t="s">
        <v>8</v>
      </c>
      <c r="C8" s="3">
        <f>COUNTIFS(Table1[Player-1],$B8,Table1[Player-2],C$3)</f>
        <v>0</v>
      </c>
      <c r="D8" s="3">
        <f>COUNTIFS(Table1[Player-1],$B8,Table1[Player-2],D$3)</f>
        <v>0</v>
      </c>
      <c r="E8" s="3">
        <f>COUNTIFS(Table1[Player-1],$B8,Table1[Player-2],E$3)</f>
        <v>1</v>
      </c>
      <c r="F8" s="3">
        <f>COUNTIFS(Table1[Player-1],$B8,Table1[Player-2],F$3)</f>
        <v>1</v>
      </c>
      <c r="G8" s="3">
        <f>COUNTIFS(Table1[Player-1],$B8,Table1[Player-2],G$3)</f>
        <v>0</v>
      </c>
      <c r="H8" s="3">
        <f>COUNTIFS(Table1[Player-1],$B8,Table1[Player-2],H$3)</f>
        <v>0</v>
      </c>
      <c r="I8" s="3">
        <f>COUNTIFS(Table1[Player-1],$B8,Table1[Player-2],I$3)</f>
        <v>1</v>
      </c>
      <c r="J8" s="3">
        <f>COUNTIFS(Table1[Player-1],$B8,Table1[Player-2],J$3)</f>
        <v>1</v>
      </c>
      <c r="K8" s="3">
        <f>COUNTIFS(Table1[Player-1],$B8,Table1[Player-2],K$3)</f>
        <v>1</v>
      </c>
      <c r="L8" s="3">
        <f>COUNTIFS(Table1[Player-1],$B8,Table1[Player-2],L$3)</f>
        <v>1</v>
      </c>
    </row>
    <row r="9" spans="1:12" x14ac:dyDescent="0.3">
      <c r="B9" s="2" t="s">
        <v>7</v>
      </c>
      <c r="C9" s="3">
        <f>COUNTIFS(Table1[Player-1],$B9,Table1[Player-2],C$3)</f>
        <v>0</v>
      </c>
      <c r="D9" s="3">
        <f>COUNTIFS(Table1[Player-1],$B9,Table1[Player-2],D$3)</f>
        <v>0</v>
      </c>
      <c r="E9" s="3">
        <f>COUNTIFS(Table1[Player-1],$B9,Table1[Player-2],E$3)</f>
        <v>1</v>
      </c>
      <c r="F9" s="3">
        <f>COUNTIFS(Table1[Player-1],$B9,Table1[Player-2],F$3)</f>
        <v>0</v>
      </c>
      <c r="G9" s="3">
        <f>COUNTIFS(Table1[Player-1],$B9,Table1[Player-2],G$3)</f>
        <v>0</v>
      </c>
      <c r="H9" s="3">
        <f>COUNTIFS(Table1[Player-1],$B9,Table1[Player-2],H$3)</f>
        <v>0</v>
      </c>
      <c r="I9" s="3">
        <f>COUNTIFS(Table1[Player-1],$B9,Table1[Player-2],I$3)</f>
        <v>1</v>
      </c>
      <c r="J9" s="3">
        <f>COUNTIFS(Table1[Player-1],$B9,Table1[Player-2],J$3)</f>
        <v>0</v>
      </c>
      <c r="K9" s="3">
        <f>COUNTIFS(Table1[Player-1],$B9,Table1[Player-2],K$3)</f>
        <v>0</v>
      </c>
      <c r="L9" s="3">
        <f>COUNTIFS(Table1[Player-1],$B9,Table1[Player-2],L$3)</f>
        <v>0</v>
      </c>
    </row>
    <row r="10" spans="1:12" x14ac:dyDescent="0.3">
      <c r="B10" s="1" t="s">
        <v>5</v>
      </c>
      <c r="C10" s="3">
        <f>COUNTIFS(Table1[Player-1],$B10,Table1[Player-2],C$3)</f>
        <v>1</v>
      </c>
      <c r="D10" s="3">
        <f>COUNTIFS(Table1[Player-1],$B10,Table1[Player-2],D$3)</f>
        <v>0</v>
      </c>
      <c r="E10" s="3">
        <f>COUNTIFS(Table1[Player-1],$B10,Table1[Player-2],E$3)</f>
        <v>42</v>
      </c>
      <c r="F10" s="3">
        <f>COUNTIFS(Table1[Player-1],$B10,Table1[Player-2],F$3)</f>
        <v>78</v>
      </c>
      <c r="G10" s="3">
        <f>COUNTIFS(Table1[Player-1],$B10,Table1[Player-2],G$3)</f>
        <v>2</v>
      </c>
      <c r="H10" s="3">
        <f>COUNTIFS(Table1[Player-1],$B10,Table1[Player-2],H$3)</f>
        <v>0</v>
      </c>
      <c r="I10" s="3">
        <f>COUNTIFS(Table1[Player-1],$B10,Table1[Player-2],I$3)</f>
        <v>0</v>
      </c>
      <c r="J10" s="3">
        <f>COUNTIFS(Table1[Player-1],$B10,Table1[Player-2],J$3)</f>
        <v>74</v>
      </c>
      <c r="K10" s="3">
        <f>COUNTIFS(Table1[Player-1],$B10,Table1[Player-2],K$3)</f>
        <v>42</v>
      </c>
      <c r="L10" s="3">
        <f>COUNTIFS(Table1[Player-1],$B10,Table1[Player-2],L$3)</f>
        <v>77</v>
      </c>
    </row>
    <row r="11" spans="1:12" x14ac:dyDescent="0.3">
      <c r="B11" s="1" t="s">
        <v>1</v>
      </c>
      <c r="C11" s="3">
        <f>COUNTIFS(Table1[Player-1],$B11,Table1[Player-2],C$3)</f>
        <v>0</v>
      </c>
      <c r="D11" s="3">
        <f>COUNTIFS(Table1[Player-1],$B11,Table1[Player-2],D$3)</f>
        <v>0</v>
      </c>
      <c r="E11" s="3">
        <f>COUNTIFS(Table1[Player-1],$B11,Table1[Player-2],E$3)</f>
        <v>16</v>
      </c>
      <c r="F11" s="3">
        <f>COUNTIFS(Table1[Player-1],$B11,Table1[Player-2],F$3)</f>
        <v>18</v>
      </c>
      <c r="G11" s="3">
        <f>COUNTIFS(Table1[Player-1],$B11,Table1[Player-2],G$3)</f>
        <v>0</v>
      </c>
      <c r="H11" s="3">
        <f>COUNTIFS(Table1[Player-1],$B11,Table1[Player-2],H$3)</f>
        <v>0</v>
      </c>
      <c r="I11" s="3">
        <f>COUNTIFS(Table1[Player-1],$B11,Table1[Player-2],I$3)</f>
        <v>75</v>
      </c>
      <c r="J11" s="3">
        <f>COUNTIFS(Table1[Player-1],$B11,Table1[Player-2],J$3)</f>
        <v>0</v>
      </c>
      <c r="K11" s="3">
        <f>COUNTIFS(Table1[Player-1],$B11,Table1[Player-2],K$3)</f>
        <v>15</v>
      </c>
      <c r="L11" s="3">
        <f>COUNTIFS(Table1[Player-1],$B11,Table1[Player-2],L$3)</f>
        <v>18</v>
      </c>
    </row>
    <row r="12" spans="1:12" x14ac:dyDescent="0.3">
      <c r="B12" s="1" t="s">
        <v>2</v>
      </c>
      <c r="C12" s="3">
        <f>COUNTIFS(Table1[Player-1],$B12,Table1[Player-2],C$3)</f>
        <v>0</v>
      </c>
      <c r="D12" s="3">
        <f>COUNTIFS(Table1[Player-1],$B12,Table1[Player-2],D$3)</f>
        <v>0</v>
      </c>
      <c r="E12" s="3">
        <f>COUNTIFS(Table1[Player-1],$B12,Table1[Player-2],E$3)</f>
        <v>15</v>
      </c>
      <c r="F12" s="3">
        <f>COUNTIFS(Table1[Player-1],$B12,Table1[Player-2],F$3)</f>
        <v>16</v>
      </c>
      <c r="G12" s="3">
        <f>COUNTIFS(Table1[Player-1],$B12,Table1[Player-2],G$3)</f>
        <v>1</v>
      </c>
      <c r="H12" s="3">
        <f>COUNTIFS(Table1[Player-1],$B12,Table1[Player-2],H$3)</f>
        <v>0</v>
      </c>
      <c r="I12" s="3">
        <f>COUNTIFS(Table1[Player-1],$B12,Table1[Player-2],I$3)</f>
        <v>40</v>
      </c>
      <c r="J12" s="3">
        <f>COUNTIFS(Table1[Player-1],$B12,Table1[Player-2],J$3)</f>
        <v>16</v>
      </c>
      <c r="K12" s="3">
        <f>COUNTIFS(Table1[Player-1],$B12,Table1[Player-2],K$3)</f>
        <v>0</v>
      </c>
      <c r="L12" s="3">
        <f>COUNTIFS(Table1[Player-1],$B12,Table1[Player-2],L$3)</f>
        <v>16</v>
      </c>
    </row>
    <row r="13" spans="1:12" x14ac:dyDescent="0.3">
      <c r="B13" s="1" t="s">
        <v>10</v>
      </c>
      <c r="C13" s="3">
        <f>COUNTIFS(Table1[Player-1],$B13,Table1[Player-2],C$3)</f>
        <v>0</v>
      </c>
      <c r="D13" s="3">
        <f>COUNTIFS(Table1[Player-1],$B13,Table1[Player-2],D$3)</f>
        <v>0</v>
      </c>
      <c r="E13" s="3">
        <f>COUNTIFS(Table1[Player-1],$B13,Table1[Player-2],E$3)</f>
        <v>19</v>
      </c>
      <c r="F13" s="3">
        <f>COUNTIFS(Table1[Player-1],$B13,Table1[Player-2],F$3)</f>
        <v>22</v>
      </c>
      <c r="G13" s="3">
        <f>COUNTIFS(Table1[Player-1],$B13,Table1[Player-2],G$3)</f>
        <v>0</v>
      </c>
      <c r="H13" s="3">
        <f>COUNTIFS(Table1[Player-1],$B13,Table1[Player-2],H$3)</f>
        <v>0</v>
      </c>
      <c r="I13" s="3">
        <f>COUNTIFS(Table1[Player-1],$B13,Table1[Player-2],I$3)</f>
        <v>77</v>
      </c>
      <c r="J13" s="3">
        <f>COUNTIFS(Table1[Player-1],$B13,Table1[Player-2],J$3)</f>
        <v>19</v>
      </c>
      <c r="K13" s="3">
        <f>COUNTIFS(Table1[Player-1],$B13,Table1[Player-2],K$3)</f>
        <v>16</v>
      </c>
      <c r="L13" s="3">
        <f>COUNTIFS(Table1[Player-1],$B13,Table1[Player-2],L$3)</f>
        <v>0</v>
      </c>
    </row>
    <row r="15" spans="1:12" x14ac:dyDescent="0.3">
      <c r="C15" t="s">
        <v>13</v>
      </c>
    </row>
    <row r="16" spans="1:12" x14ac:dyDescent="0.3">
      <c r="B16" t="s">
        <v>16</v>
      </c>
      <c r="C16" s="19" t="s">
        <v>9</v>
      </c>
      <c r="D16" s="19" t="s">
        <v>6</v>
      </c>
      <c r="E16" s="19" t="s">
        <v>4</v>
      </c>
      <c r="F16" s="19" t="s">
        <v>3</v>
      </c>
      <c r="G16" s="19" t="s">
        <v>8</v>
      </c>
      <c r="H16" s="20" t="s">
        <v>7</v>
      </c>
      <c r="I16" s="19" t="s">
        <v>5</v>
      </c>
      <c r="J16" s="19" t="s">
        <v>1</v>
      </c>
      <c r="K16" s="19" t="s">
        <v>2</v>
      </c>
      <c r="L16" s="19" t="s">
        <v>10</v>
      </c>
    </row>
    <row r="17" spans="1:14" x14ac:dyDescent="0.3">
      <c r="A17" t="s">
        <v>14</v>
      </c>
      <c r="B17" s="1" t="s">
        <v>9</v>
      </c>
      <c r="C17" s="3">
        <f>COUNTIFS(Table1[Player-1],$B17,Table1[Player-2],C$16,Table1[ Winner ], 0) + COUNTIFS(Table1[Player-2],$B17,Table1[Player-1],C$16,Table1[ Winner ], 1)</f>
        <v>0</v>
      </c>
      <c r="D17" s="3">
        <f>COUNTIFS(Table1[Player-1],$B17,Table1[Player-2],D$16,Table1[ Winner ], 0) + COUNTIFS(Table1[Player-2],$B17,Table1[Player-1],D$16,Table1[ Winner ], 1)</f>
        <v>0</v>
      </c>
      <c r="E17" s="3">
        <f>COUNTIFS(Table1[Player-1],$B17,Table1[Player-2],E$16,Table1[ Winner ], 0) + COUNTIFS(Table1[Player-2],$B17,Table1[Player-1],E$16,Table1[ Winner ], 1)</f>
        <v>0</v>
      </c>
      <c r="F17" s="3">
        <f>COUNTIFS(Table1[Player-1],$B17,Table1[Player-2],F$16,Table1[ Winner ], 0) + COUNTIFS(Table1[Player-2],$B17,Table1[Player-1],F$16,Table1[ Winner ], 1)</f>
        <v>0</v>
      </c>
      <c r="G17" s="3">
        <f>COUNTIFS(Table1[Player-1],$B17,Table1[Player-2],G$16,Table1[ Winner ], 0) + COUNTIFS(Table1[Player-2],$B17,Table1[Player-1],G$16,Table1[ Winner ], 1)</f>
        <v>0</v>
      </c>
      <c r="H17" s="3">
        <f>COUNTIFS(Table1[Player-1],$B17,Table1[Player-2],H$16,Table1[ Winner ], 0) + COUNTIFS(Table1[Player-2],$B17,Table1[Player-1],H$16,Table1[ Winner ], 1)</f>
        <v>0</v>
      </c>
      <c r="I17" s="3">
        <f>COUNTIFS(Table1[Player-1],$B17,Table1[Player-2],I$16,Table1[ Winner ], 0) + COUNTIFS(Table1[Player-2],$B17,Table1[Player-1],I$16,Table1[ Winner ], 1)</f>
        <v>0</v>
      </c>
      <c r="J17" s="3">
        <f>COUNTIFS(Table1[Player-1],$B17,Table1[Player-2],J$16,Table1[ Winner ], 0) + COUNTIFS(Table1[Player-2],$B17,Table1[Player-1],J$16,Table1[ Winner ], 1)</f>
        <v>0</v>
      </c>
      <c r="K17" s="3">
        <f>COUNTIFS(Table1[Player-1],$B17,Table1[Player-2],K$16,Table1[ Winner ], 0) + COUNTIFS(Table1[Player-2],$B17,Table1[Player-1],K$16,Table1[ Winner ], 1)</f>
        <v>0</v>
      </c>
      <c r="L17" s="3">
        <f>COUNTIFS(Table1[Player-1],$B17,Table1[Player-2],L$16,Table1[ Winner ], 0) + COUNTIFS(Table1[Player-2],$B17,Table1[Player-1],L$16,Table1[ Winner ], 1)</f>
        <v>0</v>
      </c>
    </row>
    <row r="18" spans="1:14" x14ac:dyDescent="0.3">
      <c r="B18" s="1" t="s">
        <v>6</v>
      </c>
      <c r="C18" s="3">
        <f>COUNTIFS(Table1[Player-1],$B18,Table1[Player-2],C$16,Table1[ Winner ], 0) + COUNTIFS(Table1[Player-2],$B18,Table1[Player-1],C$16,Table1[ Winner ], 1)</f>
        <v>0</v>
      </c>
      <c r="D18" s="3">
        <f>COUNTIFS(Table1[Player-1],$B18,Table1[Player-2],D$16,Table1[ Winner ], 0) + COUNTIFS(Table1[Player-2],$B18,Table1[Player-1],D$16,Table1[ Winner ], 1)</f>
        <v>0</v>
      </c>
      <c r="E18" s="3">
        <f>COUNTIFS(Table1[Player-1],$B18,Table1[Player-2],E$16,Table1[ Winner ], 0) + COUNTIFS(Table1[Player-2],$B18,Table1[Player-1],E$16,Table1[ Winner ], 1)</f>
        <v>6</v>
      </c>
      <c r="F18" s="3">
        <f>COUNTIFS(Table1[Player-1],$B18,Table1[Player-2],F$16,Table1[ Winner ], 0) + COUNTIFS(Table1[Player-2],$B18,Table1[Player-1],F$16,Table1[ Winner ], 1)</f>
        <v>0</v>
      </c>
      <c r="G18" s="3">
        <f>COUNTIFS(Table1[Player-1],$B18,Table1[Player-2],G$16,Table1[ Winner ], 0) + COUNTIFS(Table1[Player-2],$B18,Table1[Player-1],G$16,Table1[ Winner ], 1)</f>
        <v>1</v>
      </c>
      <c r="H18" s="3">
        <f>COUNTIFS(Table1[Player-1],$B18,Table1[Player-2],H$16,Table1[ Winner ], 0) + COUNTIFS(Table1[Player-2],$B18,Table1[Player-1],H$16,Table1[ Winner ], 1)</f>
        <v>0</v>
      </c>
      <c r="I18" s="3">
        <f>COUNTIFS(Table1[Player-1],$B18,Table1[Player-2],I$16,Table1[ Winner ], 0) + COUNTIFS(Table1[Player-2],$B18,Table1[Player-1],I$16,Table1[ Winner ], 1)</f>
        <v>2</v>
      </c>
      <c r="J18" s="3">
        <f>COUNTIFS(Table1[Player-1],$B18,Table1[Player-2],J$16,Table1[ Winner ], 0) + COUNTIFS(Table1[Player-2],$B18,Table1[Player-1],J$16,Table1[ Winner ], 1)</f>
        <v>1</v>
      </c>
      <c r="K18" s="3">
        <f>COUNTIFS(Table1[Player-1],$B18,Table1[Player-2],K$16,Table1[ Winner ], 0) + COUNTIFS(Table1[Player-2],$B18,Table1[Player-1],K$16,Table1[ Winner ], 1)</f>
        <v>0</v>
      </c>
      <c r="L18" s="3">
        <f>COUNTIFS(Table1[Player-1],$B18,Table1[Player-2],L$16,Table1[ Winner ], 0) + COUNTIFS(Table1[Player-2],$B18,Table1[Player-1],L$16,Table1[ Winner ], 1)</f>
        <v>1</v>
      </c>
    </row>
    <row r="19" spans="1:14" x14ac:dyDescent="0.3">
      <c r="B19" s="1" t="s">
        <v>4</v>
      </c>
      <c r="C19" s="3">
        <f>COUNTIFS(Table1[Player-1],$B19,Table1[Player-2],C$16,Table1[ Winner ], 0) + COUNTIFS(Table1[Player-2],$B19,Table1[Player-1],C$16,Table1[ Winner ], 1)</f>
        <v>2</v>
      </c>
      <c r="D19" s="3">
        <f>COUNTIFS(Table1[Player-1],$B19,Table1[Player-2],D$16,Table1[ Winner ], 0) + COUNTIFS(Table1[Player-2],$B19,Table1[Player-1],D$16,Table1[ Winner ], 1)</f>
        <v>0</v>
      </c>
      <c r="E19" s="3">
        <f>COUNTIFS(Table1[Player-1],$B19,Table1[Player-2],E$16,Table1[ Winner ], 0) + COUNTIFS(Table1[Player-2],$B19,Table1[Player-1],E$16,Table1[ Winner ], 1)</f>
        <v>0</v>
      </c>
      <c r="F19" s="3">
        <f>COUNTIFS(Table1[Player-1],$B19,Table1[Player-2],F$16,Table1[ Winner ], 0) + COUNTIFS(Table1[Player-2],$B19,Table1[Player-1],F$16,Table1[ Winner ], 1)</f>
        <v>43</v>
      </c>
      <c r="G19" s="3">
        <f>COUNTIFS(Table1[Player-1],$B19,Table1[Player-2],G$16,Table1[ Winner ], 0) + COUNTIFS(Table1[Player-2],$B19,Table1[Player-1],G$16,Table1[ Winner ], 1)</f>
        <v>3</v>
      </c>
      <c r="H19" s="3">
        <f>COUNTIFS(Table1[Player-1],$B19,Table1[Player-2],H$16,Table1[ Winner ], 0) + COUNTIFS(Table1[Player-2],$B19,Table1[Player-1],H$16,Table1[ Winner ], 1)</f>
        <v>5</v>
      </c>
      <c r="I19" s="3">
        <f>COUNTIFS(Table1[Player-1],$B19,Table1[Player-2],I$16,Table1[ Winner ], 0) + COUNTIFS(Table1[Player-2],$B19,Table1[Player-1],I$16,Table1[ Winner ], 1)</f>
        <v>70</v>
      </c>
      <c r="J19" s="3">
        <f>COUNTIFS(Table1[Player-1],$B19,Table1[Player-2],J$16,Table1[ Winner ], 0) + COUNTIFS(Table1[Player-2],$B19,Table1[Player-1],J$16,Table1[ Winner ], 1)</f>
        <v>34</v>
      </c>
      <c r="K19" s="3">
        <f>COUNTIFS(Table1[Player-1],$B19,Table1[Player-2],K$16,Table1[ Winner ], 0) + COUNTIFS(Table1[Player-2],$B19,Table1[Player-1],K$16,Table1[ Winner ], 1)</f>
        <v>9</v>
      </c>
      <c r="L19" s="3">
        <f>COUNTIFS(Table1[Player-1],$B19,Table1[Player-2],L$16,Table1[ Winner ], 0) + COUNTIFS(Table1[Player-2],$B19,Table1[Player-1],L$16,Table1[ Winner ], 1)</f>
        <v>33</v>
      </c>
    </row>
    <row r="20" spans="1:14" x14ac:dyDescent="0.3">
      <c r="B20" s="1" t="s">
        <v>3</v>
      </c>
      <c r="C20" s="3">
        <f>COUNTIFS(Table1[Player-1],$B20,Table1[Player-2],C$16,Table1[ Winner ], 0) + COUNTIFS(Table1[Player-2],$B20,Table1[Player-1],C$16,Table1[ Winner ], 1)</f>
        <v>0</v>
      </c>
      <c r="D20" s="3">
        <f>COUNTIFS(Table1[Player-1],$B20,Table1[Player-2],D$16,Table1[ Winner ], 0) + COUNTIFS(Table1[Player-2],$B20,Table1[Player-1],D$16,Table1[ Winner ], 1)</f>
        <v>0</v>
      </c>
      <c r="E20" s="3">
        <f>COUNTIFS(Table1[Player-1],$B20,Table1[Player-2],E$16,Table1[ Winner ], 0) + COUNTIFS(Table1[Player-2],$B20,Table1[Player-1],E$16,Table1[ Winner ], 1)</f>
        <v>7</v>
      </c>
      <c r="F20" s="3">
        <f>COUNTIFS(Table1[Player-1],$B20,Table1[Player-2],F$16,Table1[ Winner ], 0) + COUNTIFS(Table1[Player-2],$B20,Table1[Player-1],F$16,Table1[ Winner ], 1)</f>
        <v>0</v>
      </c>
      <c r="G20" s="3">
        <f>COUNTIFS(Table1[Player-1],$B20,Table1[Player-2],G$16,Table1[ Winner ], 0) + COUNTIFS(Table1[Player-2],$B20,Table1[Player-1],G$16,Table1[ Winner ], 1)</f>
        <v>0</v>
      </c>
      <c r="H20" s="3">
        <f>COUNTIFS(Table1[Player-1],$B20,Table1[Player-2],H$16,Table1[ Winner ], 0) + COUNTIFS(Table1[Player-2],$B20,Table1[Player-1],H$16,Table1[ Winner ], 1)</f>
        <v>0</v>
      </c>
      <c r="I20" s="3">
        <f>COUNTIFS(Table1[Player-1],$B20,Table1[Player-2],I$16,Table1[ Winner ], 0) + COUNTIFS(Table1[Player-2],$B20,Table1[Player-1],I$16,Table1[ Winner ], 1)</f>
        <v>4</v>
      </c>
      <c r="J20" s="3">
        <f>COUNTIFS(Table1[Player-1],$B20,Table1[Player-2],J$16,Table1[ Winner ], 0) + COUNTIFS(Table1[Player-2],$B20,Table1[Player-1],J$16,Table1[ Winner ], 1)</f>
        <v>17</v>
      </c>
      <c r="K20" s="3">
        <f>COUNTIFS(Table1[Player-1],$B20,Table1[Player-2],K$16,Table1[ Winner ], 0) + COUNTIFS(Table1[Player-2],$B20,Table1[Player-1],K$16,Table1[ Winner ], 1)</f>
        <v>2</v>
      </c>
      <c r="L20" s="3">
        <f>COUNTIFS(Table1[Player-1],$B20,Table1[Player-2],L$16,Table1[ Winner ], 0) + COUNTIFS(Table1[Player-2],$B20,Table1[Player-1],L$16,Table1[ Winner ], 1)</f>
        <v>16</v>
      </c>
    </row>
    <row r="21" spans="1:14" x14ac:dyDescent="0.3">
      <c r="B21" s="1" t="s">
        <v>8</v>
      </c>
      <c r="C21" s="3">
        <f>COUNTIFS(Table1[Player-1],$B21,Table1[Player-2],C$16,Table1[ Winner ], 0) + COUNTIFS(Table1[Player-2],$B21,Table1[Player-1],C$16,Table1[ Winner ], 1)</f>
        <v>1</v>
      </c>
      <c r="D21" s="3">
        <f>COUNTIFS(Table1[Player-1],$B21,Table1[Player-2],D$16,Table1[ Winner ], 0) + COUNTIFS(Table1[Player-2],$B21,Table1[Player-1],D$16,Table1[ Winner ], 1)</f>
        <v>0</v>
      </c>
      <c r="E21" s="3">
        <f>COUNTIFS(Table1[Player-1],$B21,Table1[Player-2],E$16,Table1[ Winner ], 0) + COUNTIFS(Table1[Player-2],$B21,Table1[Player-1],E$16,Table1[ Winner ], 1)</f>
        <v>1</v>
      </c>
      <c r="F21" s="3">
        <f>COUNTIFS(Table1[Player-1],$B21,Table1[Player-2],F$16,Table1[ Winner ], 0) + COUNTIFS(Table1[Player-2],$B21,Table1[Player-1],F$16,Table1[ Winner ], 1)</f>
        <v>1</v>
      </c>
      <c r="G21" s="3">
        <f>COUNTIFS(Table1[Player-1],$B21,Table1[Player-2],G$16,Table1[ Winner ], 0) + COUNTIFS(Table1[Player-2],$B21,Table1[Player-1],G$16,Table1[ Winner ], 1)</f>
        <v>0</v>
      </c>
      <c r="H21" s="3">
        <f>COUNTIFS(Table1[Player-1],$B21,Table1[Player-2],H$16,Table1[ Winner ], 0) + COUNTIFS(Table1[Player-2],$B21,Table1[Player-1],H$16,Table1[ Winner ], 1)</f>
        <v>0</v>
      </c>
      <c r="I21" s="3">
        <f>COUNTIFS(Table1[Player-1],$B21,Table1[Player-2],I$16,Table1[ Winner ], 0) + COUNTIFS(Table1[Player-2],$B21,Table1[Player-1],I$16,Table1[ Winner ], 1)</f>
        <v>0</v>
      </c>
      <c r="J21" s="3">
        <f>COUNTIFS(Table1[Player-1],$B21,Table1[Player-2],J$16,Table1[ Winner ], 0) + COUNTIFS(Table1[Player-2],$B21,Table1[Player-1],J$16,Table1[ Winner ], 1)</f>
        <v>1</v>
      </c>
      <c r="K21" s="3">
        <f>COUNTIFS(Table1[Player-1],$B21,Table1[Player-2],K$16,Table1[ Winner ], 0) + COUNTIFS(Table1[Player-2],$B21,Table1[Player-1],K$16,Table1[ Winner ], 1)</f>
        <v>0</v>
      </c>
      <c r="L21" s="3">
        <f>COUNTIFS(Table1[Player-1],$B21,Table1[Player-2],L$16,Table1[ Winner ], 0) + COUNTIFS(Table1[Player-2],$B21,Table1[Player-1],L$16,Table1[ Winner ], 1)</f>
        <v>0</v>
      </c>
    </row>
    <row r="22" spans="1:14" x14ac:dyDescent="0.3">
      <c r="B22" s="2" t="s">
        <v>7</v>
      </c>
      <c r="C22" s="3">
        <f>COUNTIFS(Table1[Player-1],$B22,Table1[Player-2],C$16,Table1[ Winner ], 0) + COUNTIFS(Table1[Player-2],$B22,Table1[Player-1],C$16,Table1[ Winner ], 1)</f>
        <v>0</v>
      </c>
      <c r="D22" s="3">
        <f>COUNTIFS(Table1[Player-1],$B22,Table1[Player-2],D$16,Table1[ Winner ], 0) + COUNTIFS(Table1[Player-2],$B22,Table1[Player-1],D$16,Table1[ Winner ], 1)</f>
        <v>0</v>
      </c>
      <c r="E22" s="3">
        <f>COUNTIFS(Table1[Player-1],$B22,Table1[Player-2],E$16,Table1[ Winner ], 0) + COUNTIFS(Table1[Player-2],$B22,Table1[Player-1],E$16,Table1[ Winner ], 1)</f>
        <v>0</v>
      </c>
      <c r="F22" s="3">
        <f>COUNTIFS(Table1[Player-1],$B22,Table1[Player-2],F$16,Table1[ Winner ], 0) + COUNTIFS(Table1[Player-2],$B22,Table1[Player-1],F$16,Table1[ Winner ], 1)</f>
        <v>0</v>
      </c>
      <c r="G22" s="3">
        <f>COUNTIFS(Table1[Player-1],$B22,Table1[Player-2],G$16,Table1[ Winner ], 0) + COUNTIFS(Table1[Player-2],$B22,Table1[Player-1],G$16,Table1[ Winner ], 1)</f>
        <v>0</v>
      </c>
      <c r="H22" s="3">
        <f>COUNTIFS(Table1[Player-1],$B22,Table1[Player-2],H$16,Table1[ Winner ], 0) + COUNTIFS(Table1[Player-2],$B22,Table1[Player-1],H$16,Table1[ Winner ], 1)</f>
        <v>0</v>
      </c>
      <c r="I22" s="3">
        <f>COUNTIFS(Table1[Player-1],$B22,Table1[Player-2],I$16,Table1[ Winner ], 0) + COUNTIFS(Table1[Player-2],$B22,Table1[Player-1],I$16,Table1[ Winner ], 1)</f>
        <v>0</v>
      </c>
      <c r="J22" s="3">
        <f>COUNTIFS(Table1[Player-1],$B22,Table1[Player-2],J$16,Table1[ Winner ], 0) + COUNTIFS(Table1[Player-2],$B22,Table1[Player-1],J$16,Table1[ Winner ], 1)</f>
        <v>0</v>
      </c>
      <c r="K22" s="3">
        <f>COUNTIFS(Table1[Player-1],$B22,Table1[Player-2],K$16,Table1[ Winner ], 0) + COUNTIFS(Table1[Player-2],$B22,Table1[Player-1],K$16,Table1[ Winner ], 1)</f>
        <v>0</v>
      </c>
      <c r="L22" s="3">
        <f>COUNTIFS(Table1[Player-1],$B22,Table1[Player-2],L$16,Table1[ Winner ], 0) + COUNTIFS(Table1[Player-2],$B22,Table1[Player-1],L$16,Table1[ Winner ], 1)</f>
        <v>0</v>
      </c>
    </row>
    <row r="23" spans="1:14" x14ac:dyDescent="0.3">
      <c r="B23" s="1" t="s">
        <v>5</v>
      </c>
      <c r="C23" s="3">
        <f>COUNTIFS(Table1[Player-1],$B23,Table1[Player-2],C$16,Table1[ Winner ], 0) + COUNTIFS(Table1[Player-2],$B23,Table1[Player-1],C$16,Table1[ Winner ], 1)</f>
        <v>2</v>
      </c>
      <c r="D23" s="3">
        <f>COUNTIFS(Table1[Player-1],$B23,Table1[Player-2],D$16,Table1[ Winner ], 0) + COUNTIFS(Table1[Player-2],$B23,Table1[Player-1],D$16,Table1[ Winner ], 1)</f>
        <v>1</v>
      </c>
      <c r="E23" s="3">
        <f>COUNTIFS(Table1[Player-1],$B23,Table1[Player-2],E$16,Table1[ Winner ], 0) + COUNTIFS(Table1[Player-2],$B23,Table1[Player-1],E$16,Table1[ Winner ], 1)</f>
        <v>31</v>
      </c>
      <c r="F23" s="3">
        <f>COUNTIFS(Table1[Player-1],$B23,Table1[Player-2],F$16,Table1[ Winner ], 0) + COUNTIFS(Table1[Player-2],$B23,Table1[Player-1],F$16,Table1[ Winner ], 1)</f>
        <v>148</v>
      </c>
      <c r="G23" s="3">
        <f>COUNTIFS(Table1[Player-1],$B23,Table1[Player-2],G$16,Table1[ Winner ], 0) + COUNTIFS(Table1[Player-2],$B23,Table1[Player-1],G$16,Table1[ Winner ], 1)</f>
        <v>3</v>
      </c>
      <c r="H23" s="3">
        <f>COUNTIFS(Table1[Player-1],$B23,Table1[Player-2],H$16,Table1[ Winner ], 0) + COUNTIFS(Table1[Player-2],$B23,Table1[Player-1],H$16,Table1[ Winner ], 1)</f>
        <v>1</v>
      </c>
      <c r="I23" s="3">
        <f>COUNTIFS(Table1[Player-1],$B23,Table1[Player-2],I$16,Table1[ Winner ], 0) + COUNTIFS(Table1[Player-2],$B23,Table1[Player-1],I$16,Table1[ Winner ], 1)</f>
        <v>0</v>
      </c>
      <c r="J23" s="3">
        <f>COUNTIFS(Table1[Player-1],$B23,Table1[Player-2],J$16,Table1[ Winner ], 0) + COUNTIFS(Table1[Player-2],$B23,Table1[Player-1],J$16,Table1[ Winner ], 1)</f>
        <v>148</v>
      </c>
      <c r="K23" s="3">
        <f>COUNTIFS(Table1[Player-1],$B23,Table1[Player-2],K$16,Table1[ Winner ], 0) + COUNTIFS(Table1[Player-2],$B23,Table1[Player-1],K$16,Table1[ Winner ], 1)</f>
        <v>1</v>
      </c>
      <c r="L23" s="3">
        <f>COUNTIFS(Table1[Player-1],$B23,Table1[Player-2],L$16,Table1[ Winner ], 0) + COUNTIFS(Table1[Player-2],$B23,Table1[Player-1],L$16,Table1[ Winner ], 1)</f>
        <v>62</v>
      </c>
    </row>
    <row r="24" spans="1:14" x14ac:dyDescent="0.3">
      <c r="B24" s="1" t="s">
        <v>1</v>
      </c>
      <c r="C24" s="3">
        <f>COUNTIFS(Table1[Player-1],$B24,Table1[Player-2],C$16,Table1[ Winner ], 0) + COUNTIFS(Table1[Player-2],$B24,Table1[Player-1],C$16,Table1[ Winner ], 1)</f>
        <v>0</v>
      </c>
      <c r="D24" s="3">
        <f>COUNTIFS(Table1[Player-1],$B24,Table1[Player-2],D$16,Table1[ Winner ], 0) + COUNTIFS(Table1[Player-2],$B24,Table1[Player-1],D$16,Table1[ Winner ], 1)</f>
        <v>0</v>
      </c>
      <c r="E24" s="3">
        <f>COUNTIFS(Table1[Player-1],$B24,Table1[Player-2],E$16,Table1[ Winner ], 0) + COUNTIFS(Table1[Player-2],$B24,Table1[Player-1],E$16,Table1[ Winner ], 1)</f>
        <v>13</v>
      </c>
      <c r="F24" s="3">
        <f>COUNTIFS(Table1[Player-1],$B24,Table1[Player-2],F$16,Table1[ Winner ], 0) + COUNTIFS(Table1[Player-2],$B24,Table1[Player-1],F$16,Table1[ Winner ], 1)</f>
        <v>19</v>
      </c>
      <c r="G24" s="3">
        <f>COUNTIFS(Table1[Player-1],$B24,Table1[Player-2],G$16,Table1[ Winner ], 0) + COUNTIFS(Table1[Player-2],$B24,Table1[Player-1],G$16,Table1[ Winner ], 1)</f>
        <v>0</v>
      </c>
      <c r="H24" s="3">
        <f>COUNTIFS(Table1[Player-1],$B24,Table1[Player-2],H$16,Table1[ Winner ], 0) + COUNTIFS(Table1[Player-2],$B24,Table1[Player-1],H$16,Table1[ Winner ], 1)</f>
        <v>0</v>
      </c>
      <c r="I24" s="3">
        <f>COUNTIFS(Table1[Player-1],$B24,Table1[Player-2],I$16,Table1[ Winner ], 0) + COUNTIFS(Table1[Player-2],$B24,Table1[Player-1],I$16,Table1[ Winner ], 1)</f>
        <v>1</v>
      </c>
      <c r="J24" s="3">
        <f>COUNTIFS(Table1[Player-1],$B24,Table1[Player-2],J$16,Table1[ Winner ], 0) + COUNTIFS(Table1[Player-2],$B24,Table1[Player-1],J$16,Table1[ Winner ], 1)</f>
        <v>0</v>
      </c>
      <c r="K24" s="3">
        <f>COUNTIFS(Table1[Player-1],$B24,Table1[Player-2],K$16,Table1[ Winner ], 0) + COUNTIFS(Table1[Player-2],$B24,Table1[Player-1],K$16,Table1[ Winner ], 1)</f>
        <v>4</v>
      </c>
      <c r="L24" s="3">
        <f>COUNTIFS(Table1[Player-1],$B24,Table1[Player-2],L$16,Table1[ Winner ], 0) + COUNTIFS(Table1[Player-2],$B24,Table1[Player-1],L$16,Table1[ Winner ], 1)</f>
        <v>10</v>
      </c>
    </row>
    <row r="25" spans="1:14" x14ac:dyDescent="0.3">
      <c r="B25" s="1" t="s">
        <v>2</v>
      </c>
      <c r="C25" s="3">
        <f>COUNTIFS(Table1[Player-1],$B25,Table1[Player-2],C$16,Table1[ Winner ], 0) + COUNTIFS(Table1[Player-2],$B25,Table1[Player-1],C$16,Table1[ Winner ], 1)</f>
        <v>1</v>
      </c>
      <c r="D25" s="3">
        <f>COUNTIFS(Table1[Player-1],$B25,Table1[Player-2],D$16,Table1[ Winner ], 0) + COUNTIFS(Table1[Player-2],$B25,Table1[Player-1],D$16,Table1[ Winner ], 1)</f>
        <v>0</v>
      </c>
      <c r="E25" s="3">
        <f>COUNTIFS(Table1[Player-1],$B25,Table1[Player-2],E$16,Table1[ Winner ], 0) + COUNTIFS(Table1[Player-2],$B25,Table1[Player-1],E$16,Table1[ Winner ], 1)</f>
        <v>39</v>
      </c>
      <c r="F25" s="3">
        <f>COUNTIFS(Table1[Player-1],$B25,Table1[Player-2],F$16,Table1[ Winner ], 0) + COUNTIFS(Table1[Player-2],$B25,Table1[Player-1],F$16,Table1[ Winner ], 1)</f>
        <v>29</v>
      </c>
      <c r="G25" s="3">
        <f>COUNTIFS(Table1[Player-1],$B25,Table1[Player-2],G$16,Table1[ Winner ], 0) + COUNTIFS(Table1[Player-2],$B25,Table1[Player-1],G$16,Table1[ Winner ], 1)</f>
        <v>2</v>
      </c>
      <c r="H25" s="3">
        <f>COUNTIFS(Table1[Player-1],$B25,Table1[Player-2],H$16,Table1[ Winner ], 0) + COUNTIFS(Table1[Player-2],$B25,Table1[Player-1],H$16,Table1[ Winner ], 1)</f>
        <v>0</v>
      </c>
      <c r="I25" s="3">
        <f>COUNTIFS(Table1[Player-1],$B25,Table1[Player-2],I$16,Table1[ Winner ], 0) + COUNTIFS(Table1[Player-2],$B25,Table1[Player-1],I$16,Table1[ Winner ], 1)</f>
        <v>81</v>
      </c>
      <c r="J25" s="3">
        <f>COUNTIFS(Table1[Player-1],$B25,Table1[Player-2],J$16,Table1[ Winner ], 0) + COUNTIFS(Table1[Player-2],$B25,Table1[Player-1],J$16,Table1[ Winner ], 1)</f>
        <v>27</v>
      </c>
      <c r="K25" s="3">
        <f>COUNTIFS(Table1[Player-1],$B25,Table1[Player-2],K$16,Table1[ Winner ], 0) + COUNTIFS(Table1[Player-2],$B25,Table1[Player-1],K$16,Table1[ Winner ], 1)</f>
        <v>0</v>
      </c>
      <c r="L25" s="3">
        <f>COUNTIFS(Table1[Player-1],$B25,Table1[Player-2],L$16,Table1[ Winner ], 0) + COUNTIFS(Table1[Player-2],$B25,Table1[Player-1],L$16,Table1[ Winner ], 1)</f>
        <v>29</v>
      </c>
    </row>
    <row r="26" spans="1:14" x14ac:dyDescent="0.3">
      <c r="B26" s="1" t="s">
        <v>10</v>
      </c>
      <c r="C26" s="3">
        <f>COUNTIFS(Table1[Player-1],$B26,Table1[Player-2],C$16,Table1[ Winner ], 0) + COUNTIFS(Table1[Player-2],$B26,Table1[Player-1],C$16,Table1[ Winner ], 1)</f>
        <v>1</v>
      </c>
      <c r="D26" s="3">
        <f>COUNTIFS(Table1[Player-1],$B26,Table1[Player-2],D$16,Table1[ Winner ], 0) + COUNTIFS(Table1[Player-2],$B26,Table1[Player-1],D$16,Table1[ Winner ], 1)</f>
        <v>0</v>
      </c>
      <c r="E26" s="3">
        <f>COUNTIFS(Table1[Player-1],$B26,Table1[Player-2],E$16,Table1[ Winner ], 0) + COUNTIFS(Table1[Player-2],$B26,Table1[Player-1],E$16,Table1[ Winner ], 1)</f>
        <v>21</v>
      </c>
      <c r="F26" s="3">
        <f>COUNTIFS(Table1[Player-1],$B26,Table1[Player-2],F$16,Table1[ Winner ], 0) + COUNTIFS(Table1[Player-2],$B26,Table1[Player-1],F$16,Table1[ Winner ], 1)</f>
        <v>27</v>
      </c>
      <c r="G26" s="3">
        <f>COUNTIFS(Table1[Player-1],$B26,Table1[Player-2],G$16,Table1[ Winner ], 0) + COUNTIFS(Table1[Player-2],$B26,Table1[Player-1],G$16,Table1[ Winner ], 1)</f>
        <v>1</v>
      </c>
      <c r="H26" s="3">
        <f>COUNTIFS(Table1[Player-1],$B26,Table1[Player-2],H$16,Table1[ Winner ], 0) + COUNTIFS(Table1[Player-2],$B26,Table1[Player-1],H$16,Table1[ Winner ], 1)</f>
        <v>0</v>
      </c>
      <c r="I26" s="3">
        <f>COUNTIFS(Table1[Player-1],$B26,Table1[Player-2],I$16,Table1[ Winner ], 0) + COUNTIFS(Table1[Player-2],$B26,Table1[Player-1],I$16,Table1[ Winner ], 1)</f>
        <v>92</v>
      </c>
      <c r="J26" s="3">
        <f>COUNTIFS(Table1[Player-1],$B26,Table1[Player-2],J$16,Table1[ Winner ], 0) + COUNTIFS(Table1[Player-2],$B26,Table1[Player-1],J$16,Table1[ Winner ], 1)</f>
        <v>27</v>
      </c>
      <c r="K26" s="3">
        <f>COUNTIFS(Table1[Player-1],$B26,Table1[Player-2],K$16,Table1[ Winner ], 0) + COUNTIFS(Table1[Player-2],$B26,Table1[Player-1],K$16,Table1[ Winner ], 1)</f>
        <v>3</v>
      </c>
      <c r="L26" s="3">
        <f>COUNTIFS(Table1[Player-1],$B26,Table1[Player-2],L$16,Table1[ Winner ], 0) + COUNTIFS(Table1[Player-2],$B26,Table1[Player-1],L$16,Table1[ Winner ], 1)</f>
        <v>0</v>
      </c>
    </row>
    <row r="28" spans="1:14" x14ac:dyDescent="0.3">
      <c r="C28" t="s">
        <v>13</v>
      </c>
    </row>
    <row r="29" spans="1:14" x14ac:dyDescent="0.3">
      <c r="B29" s="4" t="s">
        <v>17</v>
      </c>
      <c r="C29" s="19" t="s">
        <v>9</v>
      </c>
      <c r="D29" s="19" t="s">
        <v>6</v>
      </c>
      <c r="E29" s="19" t="s">
        <v>4</v>
      </c>
      <c r="F29" s="19" t="s">
        <v>3</v>
      </c>
      <c r="G29" s="19" t="s">
        <v>8</v>
      </c>
      <c r="H29" s="20" t="s">
        <v>7</v>
      </c>
      <c r="I29" s="19" t="s">
        <v>5</v>
      </c>
      <c r="J29" s="19" t="s">
        <v>1</v>
      </c>
      <c r="K29" s="19" t="s">
        <v>2</v>
      </c>
      <c r="L29" s="19" t="s">
        <v>10</v>
      </c>
      <c r="N29" s="1" t="s">
        <v>37</v>
      </c>
    </row>
    <row r="30" spans="1:14" x14ac:dyDescent="0.3">
      <c r="A30" t="s">
        <v>14</v>
      </c>
      <c r="B30" s="1" t="s">
        <v>9</v>
      </c>
      <c r="C30" s="5" t="str">
        <f>IF(C42 &gt; 0,C17 / C42,"N/A")</f>
        <v>N/A</v>
      </c>
      <c r="D30" s="5" t="str">
        <f t="shared" ref="D30:L30" si="0">IF(D42 &gt; 0,D17 / D42,"N/A")</f>
        <v>N/A</v>
      </c>
      <c r="E30" s="5">
        <f t="shared" si="0"/>
        <v>0</v>
      </c>
      <c r="F30" s="5" t="str">
        <f t="shared" si="0"/>
        <v>N/A</v>
      </c>
      <c r="G30" s="5">
        <f t="shared" si="0"/>
        <v>0</v>
      </c>
      <c r="H30" s="5" t="str">
        <f t="shared" si="0"/>
        <v>N/A</v>
      </c>
      <c r="I30" s="5">
        <f t="shared" si="0"/>
        <v>0</v>
      </c>
      <c r="J30" s="5" t="str">
        <f t="shared" si="0"/>
        <v>N/A</v>
      </c>
      <c r="K30" s="5">
        <f t="shared" si="0"/>
        <v>0</v>
      </c>
      <c r="L30" s="5">
        <f t="shared" si="0"/>
        <v>0</v>
      </c>
      <c r="N30" s="15" t="s">
        <v>36</v>
      </c>
    </row>
    <row r="31" spans="1:14" x14ac:dyDescent="0.3">
      <c r="B31" s="1" t="s">
        <v>6</v>
      </c>
      <c r="C31" s="5" t="str">
        <f t="shared" ref="C31:L39" si="1">IF(C43 &gt; 0,C18 / C43,"N/A")</f>
        <v>N/A</v>
      </c>
      <c r="D31" s="5" t="str">
        <f t="shared" si="1"/>
        <v>N/A</v>
      </c>
      <c r="E31" s="5">
        <f t="shared" si="1"/>
        <v>1</v>
      </c>
      <c r="F31" s="5" t="str">
        <f t="shared" si="1"/>
        <v>N/A</v>
      </c>
      <c r="G31" s="5">
        <f t="shared" si="1"/>
        <v>1</v>
      </c>
      <c r="H31" s="5" t="str">
        <f t="shared" si="1"/>
        <v>N/A</v>
      </c>
      <c r="I31" s="5">
        <f t="shared" si="1"/>
        <v>0.66666666666666663</v>
      </c>
      <c r="J31" s="5">
        <f t="shared" si="1"/>
        <v>1</v>
      </c>
      <c r="K31" s="5" t="str">
        <f t="shared" si="1"/>
        <v>N/A</v>
      </c>
      <c r="L31" s="5">
        <f t="shared" si="1"/>
        <v>1</v>
      </c>
      <c r="N31" s="11" t="s">
        <v>35</v>
      </c>
    </row>
    <row r="32" spans="1:14" x14ac:dyDescent="0.3">
      <c r="B32" s="1" t="s">
        <v>4</v>
      </c>
      <c r="C32" s="5">
        <f t="shared" si="1"/>
        <v>1</v>
      </c>
      <c r="D32" s="5">
        <f t="shared" si="1"/>
        <v>0</v>
      </c>
      <c r="E32" s="5" t="str">
        <f t="shared" si="1"/>
        <v>N/A</v>
      </c>
      <c r="F32" s="5">
        <f t="shared" si="1"/>
        <v>0.86</v>
      </c>
      <c r="G32" s="5">
        <f t="shared" si="1"/>
        <v>0.75</v>
      </c>
      <c r="H32" s="5">
        <f t="shared" si="1"/>
        <v>1</v>
      </c>
      <c r="I32" s="5">
        <f t="shared" si="1"/>
        <v>0.69306930693069302</v>
      </c>
      <c r="J32" s="5">
        <f t="shared" si="1"/>
        <v>0.72340425531914898</v>
      </c>
      <c r="K32" s="5">
        <f t="shared" si="1"/>
        <v>0.1875</v>
      </c>
      <c r="L32" s="5">
        <f t="shared" si="1"/>
        <v>0.61111111111111116</v>
      </c>
      <c r="N32" s="14" t="s">
        <v>32</v>
      </c>
    </row>
    <row r="33" spans="2:14" x14ac:dyDescent="0.3">
      <c r="B33" s="1" t="s">
        <v>3</v>
      </c>
      <c r="C33" s="5" t="str">
        <f t="shared" si="1"/>
        <v>N/A</v>
      </c>
      <c r="D33" s="5" t="str">
        <f t="shared" si="1"/>
        <v>N/A</v>
      </c>
      <c r="E33" s="5">
        <f t="shared" si="1"/>
        <v>0.14000000000000001</v>
      </c>
      <c r="F33" s="5" t="str">
        <f t="shared" si="1"/>
        <v>N/A</v>
      </c>
      <c r="G33" s="5">
        <f t="shared" si="1"/>
        <v>0</v>
      </c>
      <c r="H33" s="5" t="str">
        <f t="shared" si="1"/>
        <v>N/A</v>
      </c>
      <c r="I33" s="5">
        <f t="shared" si="1"/>
        <v>2.6315789473684209E-2</v>
      </c>
      <c r="J33" s="5">
        <f t="shared" si="1"/>
        <v>0.47222222222222221</v>
      </c>
      <c r="K33" s="5">
        <f t="shared" si="1"/>
        <v>6.4516129032258063E-2</v>
      </c>
      <c r="L33" s="5">
        <f t="shared" si="1"/>
        <v>0.37209302325581395</v>
      </c>
      <c r="N33" s="12" t="s">
        <v>33</v>
      </c>
    </row>
    <row r="34" spans="2:14" x14ac:dyDescent="0.3">
      <c r="B34" s="1" t="s">
        <v>8</v>
      </c>
      <c r="C34" s="5">
        <f t="shared" si="1"/>
        <v>1</v>
      </c>
      <c r="D34" s="5">
        <f t="shared" si="1"/>
        <v>0</v>
      </c>
      <c r="E34" s="5">
        <f t="shared" si="1"/>
        <v>0.25</v>
      </c>
      <c r="F34" s="5">
        <f t="shared" si="1"/>
        <v>1</v>
      </c>
      <c r="G34" s="5" t="str">
        <f t="shared" si="1"/>
        <v>N/A</v>
      </c>
      <c r="H34" s="5" t="str">
        <f t="shared" si="1"/>
        <v>N/A</v>
      </c>
      <c r="I34" s="5">
        <f t="shared" si="1"/>
        <v>0</v>
      </c>
      <c r="J34" s="5">
        <f t="shared" si="1"/>
        <v>1</v>
      </c>
      <c r="K34" s="5">
        <f t="shared" si="1"/>
        <v>0</v>
      </c>
      <c r="L34" s="5">
        <f t="shared" si="1"/>
        <v>0</v>
      </c>
      <c r="N34" s="13" t="s">
        <v>34</v>
      </c>
    </row>
    <row r="35" spans="2:14" x14ac:dyDescent="0.3">
      <c r="B35" s="2" t="s">
        <v>7</v>
      </c>
      <c r="C35" s="5" t="str">
        <f t="shared" si="1"/>
        <v>N/A</v>
      </c>
      <c r="D35" s="5" t="str">
        <f t="shared" si="1"/>
        <v>N/A</v>
      </c>
      <c r="E35" s="5">
        <f t="shared" si="1"/>
        <v>0</v>
      </c>
      <c r="F35" s="5" t="str">
        <f t="shared" si="1"/>
        <v>N/A</v>
      </c>
      <c r="G35" s="5" t="str">
        <f t="shared" si="1"/>
        <v>N/A</v>
      </c>
      <c r="H35" s="5" t="str">
        <f t="shared" si="1"/>
        <v>N/A</v>
      </c>
      <c r="I35" s="5">
        <f t="shared" si="1"/>
        <v>0</v>
      </c>
      <c r="J35" s="5" t="str">
        <f t="shared" si="1"/>
        <v>N/A</v>
      </c>
      <c r="K35" s="5" t="str">
        <f t="shared" si="1"/>
        <v>N/A</v>
      </c>
      <c r="L35" s="5" t="str">
        <f t="shared" si="1"/>
        <v>N/A</v>
      </c>
      <c r="N35" s="1" t="s">
        <v>38</v>
      </c>
    </row>
    <row r="36" spans="2:14" x14ac:dyDescent="0.3">
      <c r="B36" s="1" t="s">
        <v>5</v>
      </c>
      <c r="C36" s="5">
        <f t="shared" si="1"/>
        <v>1</v>
      </c>
      <c r="D36" s="5">
        <f t="shared" si="1"/>
        <v>0.33333333333333331</v>
      </c>
      <c r="E36" s="5">
        <f t="shared" si="1"/>
        <v>0.30693069306930693</v>
      </c>
      <c r="F36" s="5">
        <f t="shared" si="1"/>
        <v>0.97368421052631582</v>
      </c>
      <c r="G36" s="5">
        <f t="shared" si="1"/>
        <v>1</v>
      </c>
      <c r="H36" s="5">
        <f t="shared" si="1"/>
        <v>1</v>
      </c>
      <c r="I36" s="5" t="str">
        <f t="shared" si="1"/>
        <v>N/A</v>
      </c>
      <c r="J36" s="5">
        <f t="shared" si="1"/>
        <v>0.99328859060402686</v>
      </c>
      <c r="K36" s="5">
        <f t="shared" si="1"/>
        <v>1.2195121951219513E-2</v>
      </c>
      <c r="L36" s="5">
        <f t="shared" si="1"/>
        <v>0.40259740259740262</v>
      </c>
    </row>
    <row r="37" spans="2:14" x14ac:dyDescent="0.3">
      <c r="B37" s="1" t="s">
        <v>1</v>
      </c>
      <c r="C37" s="5" t="str">
        <f t="shared" si="1"/>
        <v>N/A</v>
      </c>
      <c r="D37" s="5">
        <f t="shared" si="1"/>
        <v>0</v>
      </c>
      <c r="E37" s="5">
        <f t="shared" si="1"/>
        <v>0.27659574468085107</v>
      </c>
      <c r="F37" s="5">
        <f t="shared" si="1"/>
        <v>0.52777777777777779</v>
      </c>
      <c r="G37" s="5">
        <f t="shared" si="1"/>
        <v>0</v>
      </c>
      <c r="H37" s="5" t="str">
        <f t="shared" si="1"/>
        <v>N/A</v>
      </c>
      <c r="I37" s="5">
        <f t="shared" si="1"/>
        <v>6.7114093959731542E-3</v>
      </c>
      <c r="J37" s="5" t="str">
        <f t="shared" si="1"/>
        <v>N/A</v>
      </c>
      <c r="K37" s="5">
        <f t="shared" si="1"/>
        <v>0.12903225806451613</v>
      </c>
      <c r="L37" s="5">
        <f t="shared" si="1"/>
        <v>0.27027027027027029</v>
      </c>
    </row>
    <row r="38" spans="2:14" x14ac:dyDescent="0.3">
      <c r="B38" s="1" t="s">
        <v>2</v>
      </c>
      <c r="C38" s="5">
        <f t="shared" si="1"/>
        <v>1</v>
      </c>
      <c r="D38" s="5" t="str">
        <f t="shared" si="1"/>
        <v>N/A</v>
      </c>
      <c r="E38" s="5">
        <f t="shared" si="1"/>
        <v>0.8125</v>
      </c>
      <c r="F38" s="5">
        <f t="shared" si="1"/>
        <v>0.93548387096774188</v>
      </c>
      <c r="G38" s="5">
        <f t="shared" si="1"/>
        <v>1</v>
      </c>
      <c r="H38" s="5" t="str">
        <f t="shared" si="1"/>
        <v>N/A</v>
      </c>
      <c r="I38" s="5">
        <f t="shared" si="1"/>
        <v>0.98780487804878048</v>
      </c>
      <c r="J38" s="5">
        <f t="shared" si="1"/>
        <v>0.87096774193548387</v>
      </c>
      <c r="K38" s="5" t="str">
        <f t="shared" si="1"/>
        <v>N/A</v>
      </c>
      <c r="L38" s="5">
        <f t="shared" si="1"/>
        <v>0.90625</v>
      </c>
    </row>
    <row r="39" spans="2:14" x14ac:dyDescent="0.3">
      <c r="B39" s="1" t="s">
        <v>10</v>
      </c>
      <c r="C39" s="5">
        <f t="shared" si="1"/>
        <v>1</v>
      </c>
      <c r="D39" s="5">
        <f t="shared" si="1"/>
        <v>0</v>
      </c>
      <c r="E39" s="5">
        <f t="shared" si="1"/>
        <v>0.3888888888888889</v>
      </c>
      <c r="F39" s="5">
        <f t="shared" si="1"/>
        <v>0.62790697674418605</v>
      </c>
      <c r="G39" s="5">
        <f t="shared" si="1"/>
        <v>1</v>
      </c>
      <c r="H39" s="5" t="str">
        <f t="shared" si="1"/>
        <v>N/A</v>
      </c>
      <c r="I39" s="5">
        <f t="shared" si="1"/>
        <v>0.59740259740259738</v>
      </c>
      <c r="J39" s="5">
        <f t="shared" si="1"/>
        <v>0.72972972972972971</v>
      </c>
      <c r="K39" s="5">
        <f t="shared" si="1"/>
        <v>9.375E-2</v>
      </c>
      <c r="L39" s="5" t="str">
        <f t="shared" si="1"/>
        <v>N/A</v>
      </c>
      <c r="M39" s="9"/>
    </row>
    <row r="40" spans="2:14" x14ac:dyDescent="0.3">
      <c r="M40" s="9"/>
    </row>
    <row r="41" spans="2:14" x14ac:dyDescent="0.3">
      <c r="B41" s="4" t="s">
        <v>18</v>
      </c>
      <c r="C41" s="19" t="s">
        <v>9</v>
      </c>
      <c r="D41" s="19" t="s">
        <v>6</v>
      </c>
      <c r="E41" s="19" t="s">
        <v>4</v>
      </c>
      <c r="F41" s="19" t="s">
        <v>3</v>
      </c>
      <c r="G41" s="19" t="s">
        <v>8</v>
      </c>
      <c r="H41" s="20" t="s">
        <v>7</v>
      </c>
      <c r="I41" s="19" t="s">
        <v>5</v>
      </c>
      <c r="J41" s="19" t="s">
        <v>1</v>
      </c>
      <c r="K41" s="19" t="s">
        <v>2</v>
      </c>
      <c r="L41" s="19" t="s">
        <v>10</v>
      </c>
      <c r="M41" s="9"/>
    </row>
    <row r="42" spans="2:14" x14ac:dyDescent="0.3">
      <c r="B42" s="1" t="s">
        <v>9</v>
      </c>
      <c r="C42" s="7">
        <f>COUNTIFS(Table1[Player-1],$B42,Table1[Player-2],C$41) + COUNTIFS(Table1[Player-2],$B42,Table1[Player-1],C$41)</f>
        <v>0</v>
      </c>
      <c r="D42" s="17">
        <f>COUNTIFS(Table1[Player-1],$B42,Table1[Player-2],D$41) + COUNTIFS(Table1[Player-2],$B42,Table1[Player-1],D$41)</f>
        <v>0</v>
      </c>
      <c r="E42" s="17">
        <f>COUNTIFS(Table1[Player-1],$B42,Table1[Player-2],E$41) + COUNTIFS(Table1[Player-2],$B42,Table1[Player-1],E$41)</f>
        <v>2</v>
      </c>
      <c r="F42" s="17">
        <f>COUNTIFS(Table1[Player-1],$B42,Table1[Player-2],F$41) + COUNTIFS(Table1[Player-2],$B42,Table1[Player-1],F$41)</f>
        <v>0</v>
      </c>
      <c r="G42" s="17">
        <f>COUNTIFS(Table1[Player-1],$B42,Table1[Player-2],G$41) + COUNTIFS(Table1[Player-2],$B42,Table1[Player-1],G$41)</f>
        <v>1</v>
      </c>
      <c r="H42" s="17">
        <f>COUNTIFS(Table1[Player-1],$B42,Table1[Player-2],H$41) + COUNTIFS(Table1[Player-2],$B42,Table1[Player-1],H$41)</f>
        <v>0</v>
      </c>
      <c r="I42" s="17">
        <f>COUNTIFS(Table1[Player-1],$B42,Table1[Player-2],I$41) + COUNTIFS(Table1[Player-2],$B42,Table1[Player-1],I$41)</f>
        <v>2</v>
      </c>
      <c r="J42" s="17">
        <f>COUNTIFS(Table1[Player-1],$B42,Table1[Player-2],J$41) + COUNTIFS(Table1[Player-2],$B42,Table1[Player-1],J$41)</f>
        <v>0</v>
      </c>
      <c r="K42" s="17">
        <f>COUNTIFS(Table1[Player-1],$B42,Table1[Player-2],K$41) + COUNTIFS(Table1[Player-2],$B42,Table1[Player-1],K$41)</f>
        <v>1</v>
      </c>
      <c r="L42" s="17">
        <f>COUNTIFS(Table1[Player-1],$B42,Table1[Player-2],L$41) + COUNTIFS(Table1[Player-2],$B42,Table1[Player-1],L$41)</f>
        <v>1</v>
      </c>
      <c r="M42" s="16"/>
    </row>
    <row r="43" spans="2:14" x14ac:dyDescent="0.3">
      <c r="B43" s="1" t="s">
        <v>6</v>
      </c>
      <c r="C43" s="6">
        <f>COUNTIFS(Table1[Player-1],$B43,Table1[Player-2],C$41) + COUNTIFS(Table1[Player-2],$B43,Table1[Player-1],C$41)</f>
        <v>0</v>
      </c>
      <c r="D43" s="7">
        <f>COUNTIFS(Table1[Player-1],$B43,Table1[Player-2],D$41) + COUNTIFS(Table1[Player-2],$B43,Table1[Player-1],D$41)</f>
        <v>0</v>
      </c>
      <c r="E43" s="17">
        <f>COUNTIFS(Table1[Player-1],$B43,Table1[Player-2],E$41) + COUNTIFS(Table1[Player-2],$B43,Table1[Player-1],E$41)</f>
        <v>6</v>
      </c>
      <c r="F43" s="17">
        <f>COUNTIFS(Table1[Player-1],$B43,Table1[Player-2],F$41) + COUNTIFS(Table1[Player-2],$B43,Table1[Player-1],F$41)</f>
        <v>0</v>
      </c>
      <c r="G43" s="17">
        <f>COUNTIFS(Table1[Player-1],$B43,Table1[Player-2],G$41) + COUNTIFS(Table1[Player-2],$B43,Table1[Player-1],G$41)</f>
        <v>1</v>
      </c>
      <c r="H43" s="17">
        <f>COUNTIFS(Table1[Player-1],$B43,Table1[Player-2],H$41) + COUNTIFS(Table1[Player-2],$B43,Table1[Player-1],H$41)</f>
        <v>0</v>
      </c>
      <c r="I43" s="17">
        <f>COUNTIFS(Table1[Player-1],$B43,Table1[Player-2],I$41) + COUNTIFS(Table1[Player-2],$B43,Table1[Player-1],I$41)</f>
        <v>3</v>
      </c>
      <c r="J43" s="17">
        <f>COUNTIFS(Table1[Player-1],$B43,Table1[Player-2],J$41) + COUNTIFS(Table1[Player-2],$B43,Table1[Player-1],J$41)</f>
        <v>1</v>
      </c>
      <c r="K43" s="17">
        <f>COUNTIFS(Table1[Player-1],$B43,Table1[Player-2],K$41) + COUNTIFS(Table1[Player-2],$B43,Table1[Player-1],K$41)</f>
        <v>0</v>
      </c>
      <c r="L43" s="17">
        <f>COUNTIFS(Table1[Player-1],$B43,Table1[Player-2],L$41) + COUNTIFS(Table1[Player-2],$B43,Table1[Player-1],L$41)</f>
        <v>1</v>
      </c>
      <c r="M43" s="16"/>
    </row>
    <row r="44" spans="2:14" x14ac:dyDescent="0.3">
      <c r="B44" s="1" t="s">
        <v>4</v>
      </c>
      <c r="C44" s="6">
        <f>COUNTIFS(Table1[Player-1],$B44,Table1[Player-2],C$41) + COUNTIFS(Table1[Player-2],$B44,Table1[Player-1],C$41)</f>
        <v>2</v>
      </c>
      <c r="D44" s="6">
        <f>COUNTIFS(Table1[Player-1],$B44,Table1[Player-2],D$41) + COUNTIFS(Table1[Player-2],$B44,Table1[Player-1],D$41)</f>
        <v>6</v>
      </c>
      <c r="E44" s="7">
        <f>COUNTIFS(Table1[Player-1],$B44,Table1[Player-2],E$41) + COUNTIFS(Table1[Player-2],$B44,Table1[Player-1],E$41)</f>
        <v>0</v>
      </c>
      <c r="F44" s="17">
        <f>COUNTIFS(Table1[Player-1],$B44,Table1[Player-2],F$41) + COUNTIFS(Table1[Player-2],$B44,Table1[Player-1],F$41)</f>
        <v>50</v>
      </c>
      <c r="G44" s="17">
        <f>COUNTIFS(Table1[Player-1],$B44,Table1[Player-2],G$41) + COUNTIFS(Table1[Player-2],$B44,Table1[Player-1],G$41)</f>
        <v>4</v>
      </c>
      <c r="H44" s="17">
        <f>COUNTIFS(Table1[Player-1],$B44,Table1[Player-2],H$41) + COUNTIFS(Table1[Player-2],$B44,Table1[Player-1],H$41)</f>
        <v>5</v>
      </c>
      <c r="I44" s="17">
        <f>COUNTIFS(Table1[Player-1],$B44,Table1[Player-2],I$41) + COUNTIFS(Table1[Player-2],$B44,Table1[Player-1],I$41)</f>
        <v>101</v>
      </c>
      <c r="J44" s="17">
        <f>COUNTIFS(Table1[Player-1],$B44,Table1[Player-2],J$41) + COUNTIFS(Table1[Player-2],$B44,Table1[Player-1],J$41)</f>
        <v>47</v>
      </c>
      <c r="K44" s="17">
        <f>COUNTIFS(Table1[Player-1],$B44,Table1[Player-2],K$41) + COUNTIFS(Table1[Player-2],$B44,Table1[Player-1],K$41)</f>
        <v>48</v>
      </c>
      <c r="L44" s="17">
        <f>COUNTIFS(Table1[Player-1],$B44,Table1[Player-2],L$41) + COUNTIFS(Table1[Player-2],$B44,Table1[Player-1],L$41)</f>
        <v>54</v>
      </c>
      <c r="M44" s="16"/>
    </row>
    <row r="45" spans="2:14" x14ac:dyDescent="0.3">
      <c r="B45" s="1" t="s">
        <v>3</v>
      </c>
      <c r="C45" s="6">
        <f>COUNTIFS(Table1[Player-1],$B45,Table1[Player-2],C$41) + COUNTIFS(Table1[Player-2],$B45,Table1[Player-1],C$41)</f>
        <v>0</v>
      </c>
      <c r="D45" s="6">
        <f>COUNTIFS(Table1[Player-1],$B45,Table1[Player-2],D$41) + COUNTIFS(Table1[Player-2],$B45,Table1[Player-1],D$41)</f>
        <v>0</v>
      </c>
      <c r="E45" s="6">
        <f>COUNTIFS(Table1[Player-1],$B45,Table1[Player-2],E$41) + COUNTIFS(Table1[Player-2],$B45,Table1[Player-1],E$41)</f>
        <v>50</v>
      </c>
      <c r="F45" s="7">
        <f>COUNTIFS(Table1[Player-1],$B45,Table1[Player-2],F$41) + COUNTIFS(Table1[Player-2],$B45,Table1[Player-1],F$41)</f>
        <v>0</v>
      </c>
      <c r="G45" s="17">
        <f>COUNTIFS(Table1[Player-1],$B45,Table1[Player-2],G$41) + COUNTIFS(Table1[Player-2],$B45,Table1[Player-1],G$41)</f>
        <v>1</v>
      </c>
      <c r="H45" s="17">
        <f>COUNTIFS(Table1[Player-1],$B45,Table1[Player-2],H$41) + COUNTIFS(Table1[Player-2],$B45,Table1[Player-1],H$41)</f>
        <v>0</v>
      </c>
      <c r="I45" s="17">
        <f>COUNTIFS(Table1[Player-1],$B45,Table1[Player-2],I$41) + COUNTIFS(Table1[Player-2],$B45,Table1[Player-1],I$41)</f>
        <v>152</v>
      </c>
      <c r="J45" s="17">
        <f>COUNTIFS(Table1[Player-1],$B45,Table1[Player-2],J$41) + COUNTIFS(Table1[Player-2],$B45,Table1[Player-1],J$41)</f>
        <v>36</v>
      </c>
      <c r="K45" s="17">
        <f>COUNTIFS(Table1[Player-1],$B45,Table1[Player-2],K$41) + COUNTIFS(Table1[Player-2],$B45,Table1[Player-1],K$41)</f>
        <v>31</v>
      </c>
      <c r="L45" s="17">
        <f>COUNTIFS(Table1[Player-1],$B45,Table1[Player-2],L$41) + COUNTIFS(Table1[Player-2],$B45,Table1[Player-1],L$41)</f>
        <v>43</v>
      </c>
      <c r="M45" s="16"/>
    </row>
    <row r="46" spans="2:14" x14ac:dyDescent="0.3">
      <c r="B46" s="1" t="s">
        <v>8</v>
      </c>
      <c r="C46" s="6">
        <f>COUNTIFS(Table1[Player-1],$B46,Table1[Player-2],C$41) + COUNTIFS(Table1[Player-2],$B46,Table1[Player-1],C$41)</f>
        <v>1</v>
      </c>
      <c r="D46" s="6">
        <f>COUNTIFS(Table1[Player-1],$B46,Table1[Player-2],D$41) + COUNTIFS(Table1[Player-2],$B46,Table1[Player-1],D$41)</f>
        <v>1</v>
      </c>
      <c r="E46" s="6">
        <f>COUNTIFS(Table1[Player-1],$B46,Table1[Player-2],E$41) + COUNTIFS(Table1[Player-2],$B46,Table1[Player-1],E$41)</f>
        <v>4</v>
      </c>
      <c r="F46" s="6">
        <f>COUNTIFS(Table1[Player-1],$B46,Table1[Player-2],F$41) + COUNTIFS(Table1[Player-2],$B46,Table1[Player-1],F$41)</f>
        <v>1</v>
      </c>
      <c r="G46" s="7">
        <f>COUNTIFS(Table1[Player-1],$B46,Table1[Player-2],G$41) + COUNTIFS(Table1[Player-2],$B46,Table1[Player-1],G$41)</f>
        <v>0</v>
      </c>
      <c r="H46" s="17">
        <f>COUNTIFS(Table1[Player-1],$B46,Table1[Player-2],H$41) + COUNTIFS(Table1[Player-2],$B46,Table1[Player-1],H$41)</f>
        <v>0</v>
      </c>
      <c r="I46" s="17">
        <f>COUNTIFS(Table1[Player-1],$B46,Table1[Player-2],I$41) + COUNTIFS(Table1[Player-2],$B46,Table1[Player-1],I$41)</f>
        <v>3</v>
      </c>
      <c r="J46" s="17">
        <f>COUNTIFS(Table1[Player-1],$B46,Table1[Player-2],J$41) + COUNTIFS(Table1[Player-2],$B46,Table1[Player-1],J$41)</f>
        <v>1</v>
      </c>
      <c r="K46" s="17">
        <f>COUNTIFS(Table1[Player-1],$B46,Table1[Player-2],K$41) + COUNTIFS(Table1[Player-2],$B46,Table1[Player-1],K$41)</f>
        <v>2</v>
      </c>
      <c r="L46" s="17">
        <f>COUNTIFS(Table1[Player-1],$B46,Table1[Player-2],L$41) + COUNTIFS(Table1[Player-2],$B46,Table1[Player-1],L$41)</f>
        <v>1</v>
      </c>
      <c r="M46" s="16"/>
    </row>
    <row r="47" spans="2:14" x14ac:dyDescent="0.3">
      <c r="B47" s="2" t="s">
        <v>7</v>
      </c>
      <c r="C47" s="6">
        <f>COUNTIFS(Table1[Player-1],$B47,Table1[Player-2],C$41) + COUNTIFS(Table1[Player-2],$B47,Table1[Player-1],C$41)</f>
        <v>0</v>
      </c>
      <c r="D47" s="6">
        <f>COUNTIFS(Table1[Player-1],$B47,Table1[Player-2],D$41) + COUNTIFS(Table1[Player-2],$B47,Table1[Player-1],D$41)</f>
        <v>0</v>
      </c>
      <c r="E47" s="6">
        <f>COUNTIFS(Table1[Player-1],$B47,Table1[Player-2],E$41) + COUNTIFS(Table1[Player-2],$B47,Table1[Player-1],E$41)</f>
        <v>5</v>
      </c>
      <c r="F47" s="6">
        <f>COUNTIFS(Table1[Player-1],$B47,Table1[Player-2],F$41) + COUNTIFS(Table1[Player-2],$B47,Table1[Player-1],F$41)</f>
        <v>0</v>
      </c>
      <c r="G47" s="6">
        <f>COUNTIFS(Table1[Player-1],$B47,Table1[Player-2],G$41) + COUNTIFS(Table1[Player-2],$B47,Table1[Player-1],G$41)</f>
        <v>0</v>
      </c>
      <c r="H47" s="7">
        <f>COUNTIFS(Table1[Player-1],$B47,Table1[Player-2],H$41) + COUNTIFS(Table1[Player-2],$B47,Table1[Player-1],H$41)</f>
        <v>0</v>
      </c>
      <c r="I47" s="17">
        <f>COUNTIFS(Table1[Player-1],$B47,Table1[Player-2],I$41) + COUNTIFS(Table1[Player-2],$B47,Table1[Player-1],I$41)</f>
        <v>1</v>
      </c>
      <c r="J47" s="17">
        <f>COUNTIFS(Table1[Player-1],$B47,Table1[Player-2],J$41) + COUNTIFS(Table1[Player-2],$B47,Table1[Player-1],J$41)</f>
        <v>0</v>
      </c>
      <c r="K47" s="17">
        <f>COUNTIFS(Table1[Player-1],$B47,Table1[Player-2],K$41) + COUNTIFS(Table1[Player-2],$B47,Table1[Player-1],K$41)</f>
        <v>0</v>
      </c>
      <c r="L47" s="17">
        <f>COUNTIFS(Table1[Player-1],$B47,Table1[Player-2],L$41) + COUNTIFS(Table1[Player-2],$B47,Table1[Player-1],L$41)</f>
        <v>0</v>
      </c>
      <c r="M47" s="16"/>
    </row>
    <row r="48" spans="2:14" x14ac:dyDescent="0.3">
      <c r="B48" s="1" t="s">
        <v>5</v>
      </c>
      <c r="C48" s="6">
        <f>COUNTIFS(Table1[Player-1],$B48,Table1[Player-2],C$41) + COUNTIFS(Table1[Player-2],$B48,Table1[Player-1],C$41)</f>
        <v>2</v>
      </c>
      <c r="D48" s="6">
        <f>COUNTIFS(Table1[Player-1],$B48,Table1[Player-2],D$41) + COUNTIFS(Table1[Player-2],$B48,Table1[Player-1],D$41)</f>
        <v>3</v>
      </c>
      <c r="E48" s="6">
        <f>COUNTIFS(Table1[Player-1],$B48,Table1[Player-2],E$41) + COUNTIFS(Table1[Player-2],$B48,Table1[Player-1],E$41)</f>
        <v>101</v>
      </c>
      <c r="F48" s="6">
        <f>COUNTIFS(Table1[Player-1],$B48,Table1[Player-2],F$41) + COUNTIFS(Table1[Player-2],$B48,Table1[Player-1],F$41)</f>
        <v>152</v>
      </c>
      <c r="G48" s="6">
        <f>COUNTIFS(Table1[Player-1],$B48,Table1[Player-2],G$41) + COUNTIFS(Table1[Player-2],$B48,Table1[Player-1],G$41)</f>
        <v>3</v>
      </c>
      <c r="H48" s="6">
        <f>COUNTIFS(Table1[Player-1],$B48,Table1[Player-2],H$41) + COUNTIFS(Table1[Player-2],$B48,Table1[Player-1],H$41)</f>
        <v>1</v>
      </c>
      <c r="I48" s="7">
        <f>COUNTIFS(Table1[Player-1],$B48,Table1[Player-2],I$41) + COUNTIFS(Table1[Player-2],$B48,Table1[Player-1],I$41)</f>
        <v>0</v>
      </c>
      <c r="J48" s="17">
        <f>COUNTIFS(Table1[Player-1],$B48,Table1[Player-2],J$41) + COUNTIFS(Table1[Player-2],$B48,Table1[Player-1],J$41)</f>
        <v>149</v>
      </c>
      <c r="K48" s="17">
        <f>COUNTIFS(Table1[Player-1],$B48,Table1[Player-2],K$41) + COUNTIFS(Table1[Player-2],$B48,Table1[Player-1],K$41)</f>
        <v>82</v>
      </c>
      <c r="L48" s="17">
        <f>COUNTIFS(Table1[Player-1],$B48,Table1[Player-2],L$41) + COUNTIFS(Table1[Player-2],$B48,Table1[Player-1],L$41)</f>
        <v>154</v>
      </c>
      <c r="M48" s="16"/>
    </row>
    <row r="49" spans="2:13" x14ac:dyDescent="0.3">
      <c r="B49" s="1" t="s">
        <v>1</v>
      </c>
      <c r="C49" s="6">
        <f>COUNTIFS(Table1[Player-1],$B49,Table1[Player-2],C$41) + COUNTIFS(Table1[Player-2],$B49,Table1[Player-1],C$41)</f>
        <v>0</v>
      </c>
      <c r="D49" s="6">
        <f>COUNTIFS(Table1[Player-1],$B49,Table1[Player-2],D$41) + COUNTIFS(Table1[Player-2],$B49,Table1[Player-1],D$41)</f>
        <v>1</v>
      </c>
      <c r="E49" s="6">
        <f>COUNTIFS(Table1[Player-1],$B49,Table1[Player-2],E$41) + COUNTIFS(Table1[Player-2],$B49,Table1[Player-1],E$41)</f>
        <v>47</v>
      </c>
      <c r="F49" s="6">
        <f>COUNTIFS(Table1[Player-1],$B49,Table1[Player-2],F$41) + COUNTIFS(Table1[Player-2],$B49,Table1[Player-1],F$41)</f>
        <v>36</v>
      </c>
      <c r="G49" s="6">
        <f>COUNTIFS(Table1[Player-1],$B49,Table1[Player-2],G$41) + COUNTIFS(Table1[Player-2],$B49,Table1[Player-1],G$41)</f>
        <v>1</v>
      </c>
      <c r="H49" s="6">
        <f>COUNTIFS(Table1[Player-1],$B49,Table1[Player-2],H$41) + COUNTIFS(Table1[Player-2],$B49,Table1[Player-1],H$41)</f>
        <v>0</v>
      </c>
      <c r="I49" s="6">
        <f>COUNTIFS(Table1[Player-1],$B49,Table1[Player-2],I$41) + COUNTIFS(Table1[Player-2],$B49,Table1[Player-1],I$41)</f>
        <v>149</v>
      </c>
      <c r="J49" s="7">
        <f>COUNTIFS(Table1[Player-1],$B49,Table1[Player-2],J$41) + COUNTIFS(Table1[Player-2],$B49,Table1[Player-1],J$41)</f>
        <v>0</v>
      </c>
      <c r="K49" s="17">
        <f>COUNTIFS(Table1[Player-1],$B49,Table1[Player-2],K$41) + COUNTIFS(Table1[Player-2],$B49,Table1[Player-1],K$41)</f>
        <v>31</v>
      </c>
      <c r="L49" s="17">
        <f>COUNTIFS(Table1[Player-1],$B49,Table1[Player-2],L$41) + COUNTIFS(Table1[Player-2],$B49,Table1[Player-1],L$41)</f>
        <v>37</v>
      </c>
      <c r="M49" s="16"/>
    </row>
    <row r="50" spans="2:13" x14ac:dyDescent="0.3">
      <c r="B50" s="1" t="s">
        <v>2</v>
      </c>
      <c r="C50" s="6">
        <f>COUNTIFS(Table1[Player-1],$B50,Table1[Player-2],C$41) + COUNTIFS(Table1[Player-2],$B50,Table1[Player-1],C$41)</f>
        <v>1</v>
      </c>
      <c r="D50" s="6">
        <f>COUNTIFS(Table1[Player-1],$B50,Table1[Player-2],D$41) + COUNTIFS(Table1[Player-2],$B50,Table1[Player-1],D$41)</f>
        <v>0</v>
      </c>
      <c r="E50" s="6">
        <f>COUNTIFS(Table1[Player-1],$B50,Table1[Player-2],E$41) + COUNTIFS(Table1[Player-2],$B50,Table1[Player-1],E$41)</f>
        <v>48</v>
      </c>
      <c r="F50" s="6">
        <f>COUNTIFS(Table1[Player-1],$B50,Table1[Player-2],F$41) + COUNTIFS(Table1[Player-2],$B50,Table1[Player-1],F$41)</f>
        <v>31</v>
      </c>
      <c r="G50" s="6">
        <f>COUNTIFS(Table1[Player-1],$B50,Table1[Player-2],G$41) + COUNTIFS(Table1[Player-2],$B50,Table1[Player-1],G$41)</f>
        <v>2</v>
      </c>
      <c r="H50" s="6">
        <f>COUNTIFS(Table1[Player-1],$B50,Table1[Player-2],H$41) + COUNTIFS(Table1[Player-2],$B50,Table1[Player-1],H$41)</f>
        <v>0</v>
      </c>
      <c r="I50" s="6">
        <f>COUNTIFS(Table1[Player-1],$B50,Table1[Player-2],I$41) + COUNTIFS(Table1[Player-2],$B50,Table1[Player-1],I$41)</f>
        <v>82</v>
      </c>
      <c r="J50" s="6">
        <f>COUNTIFS(Table1[Player-1],$B50,Table1[Player-2],J$41) + COUNTIFS(Table1[Player-2],$B50,Table1[Player-1],J$41)</f>
        <v>31</v>
      </c>
      <c r="K50" s="7">
        <f>COUNTIFS(Table1[Player-1],$B50,Table1[Player-2],K$41) + COUNTIFS(Table1[Player-2],$B50,Table1[Player-1],K$41)</f>
        <v>0</v>
      </c>
      <c r="L50" s="17">
        <f>COUNTIFS(Table1[Player-1],$B50,Table1[Player-2],L$41) + COUNTIFS(Table1[Player-2],$B50,Table1[Player-1],L$41)</f>
        <v>32</v>
      </c>
      <c r="M50" s="16"/>
    </row>
    <row r="51" spans="2:13" x14ac:dyDescent="0.3">
      <c r="B51" s="1" t="s">
        <v>10</v>
      </c>
      <c r="C51" s="6">
        <f>COUNTIFS(Table1[Player-1],$B51,Table1[Player-2],C$41) + COUNTIFS(Table1[Player-2],$B51,Table1[Player-1],C$41)</f>
        <v>1</v>
      </c>
      <c r="D51" s="6">
        <f>COUNTIFS(Table1[Player-1],$B51,Table1[Player-2],D$41) + COUNTIFS(Table1[Player-2],$B51,Table1[Player-1],D$41)</f>
        <v>1</v>
      </c>
      <c r="E51" s="6">
        <f>COUNTIFS(Table1[Player-1],$B51,Table1[Player-2],E$41) + COUNTIFS(Table1[Player-2],$B51,Table1[Player-1],E$41)</f>
        <v>54</v>
      </c>
      <c r="F51" s="6">
        <f>COUNTIFS(Table1[Player-1],$B51,Table1[Player-2],F$41) + COUNTIFS(Table1[Player-2],$B51,Table1[Player-1],F$41)</f>
        <v>43</v>
      </c>
      <c r="G51" s="6">
        <f>COUNTIFS(Table1[Player-1],$B51,Table1[Player-2],G$41) + COUNTIFS(Table1[Player-2],$B51,Table1[Player-1],G$41)</f>
        <v>1</v>
      </c>
      <c r="H51" s="6">
        <f>COUNTIFS(Table1[Player-1],$B51,Table1[Player-2],H$41) + COUNTIFS(Table1[Player-2],$B51,Table1[Player-1],H$41)</f>
        <v>0</v>
      </c>
      <c r="I51" s="6">
        <f>COUNTIFS(Table1[Player-1],$B51,Table1[Player-2],I$41) + COUNTIFS(Table1[Player-2],$B51,Table1[Player-1],I$41)</f>
        <v>154</v>
      </c>
      <c r="J51" s="6">
        <f>COUNTIFS(Table1[Player-1],$B51,Table1[Player-2],J$41) + COUNTIFS(Table1[Player-2],$B51,Table1[Player-1],J$41)</f>
        <v>37</v>
      </c>
      <c r="K51" s="6">
        <f>COUNTIFS(Table1[Player-1],$B51,Table1[Player-2],K$41) + COUNTIFS(Table1[Player-2],$B51,Table1[Player-1],K$41)</f>
        <v>32</v>
      </c>
      <c r="L51" s="7">
        <f>COUNTIFS(Table1[Player-1],$B51,Table1[Player-2],L$41) + COUNTIFS(Table1[Player-2],$B51,Table1[Player-1],L$41)</f>
        <v>0</v>
      </c>
      <c r="M51" s="16"/>
    </row>
    <row r="52" spans="2:13" x14ac:dyDescent="0.3">
      <c r="B52" s="1" t="s">
        <v>19</v>
      </c>
      <c r="C52" s="8">
        <f>SUM(C42:C51)</f>
        <v>7</v>
      </c>
      <c r="D52" s="8">
        <f t="shared" ref="D52:L52" si="2">SUM(D42:D51)</f>
        <v>12</v>
      </c>
      <c r="E52" s="8">
        <f t="shared" si="2"/>
        <v>317</v>
      </c>
      <c r="F52" s="8">
        <f t="shared" si="2"/>
        <v>313</v>
      </c>
      <c r="G52" s="8">
        <f t="shared" si="2"/>
        <v>14</v>
      </c>
      <c r="H52" s="8">
        <f t="shared" si="2"/>
        <v>6</v>
      </c>
      <c r="I52" s="8">
        <f t="shared" si="2"/>
        <v>647</v>
      </c>
      <c r="J52" s="8">
        <f t="shared" si="2"/>
        <v>302</v>
      </c>
      <c r="K52" s="8">
        <f t="shared" si="2"/>
        <v>227</v>
      </c>
      <c r="L52" s="8">
        <f t="shared" si="2"/>
        <v>323</v>
      </c>
      <c r="M52" s="9"/>
    </row>
    <row r="53" spans="2:13" x14ac:dyDescent="0.3">
      <c r="C53" s="9"/>
      <c r="M53" s="9"/>
    </row>
    <row r="54" spans="2:13" x14ac:dyDescent="0.3">
      <c r="C54" s="1" t="s">
        <v>20</v>
      </c>
      <c r="D54" s="1" t="s">
        <v>21</v>
      </c>
      <c r="E54" s="1" t="s">
        <v>22</v>
      </c>
      <c r="F54" s="1" t="s">
        <v>23</v>
      </c>
      <c r="G54" s="1" t="s">
        <v>24</v>
      </c>
      <c r="H54" s="1" t="s">
        <v>25</v>
      </c>
      <c r="M54" s="9"/>
    </row>
    <row r="55" spans="2:13" x14ac:dyDescent="0.3">
      <c r="B55" s="1" t="s">
        <v>9</v>
      </c>
      <c r="C55">
        <f>COUNTIFS(Table1[Player-1],tables!$B55,Table1[Winner],0,Table1[Number of Players],2) + COUNTIFS(Table1[Player-2],tables!$B55,Table1[Winner],1,Table1[Number of Players],2)</f>
        <v>0</v>
      </c>
      <c r="D55">
        <f>COUNTIFS(Table1[Player-1],tables!$B55,Table1[Winner],1,Table1[Number of Players],2) + COUNTIFS(Table1[Player-2],tables!$B55,Table1[Winner],0,Table1[Number of Players],2)</f>
        <v>7</v>
      </c>
      <c r="E55">
        <f>COUNTIFS(Table1[Player-1],tables!$B55,Table1[Winner],0,Table1[Number of Players],4) + COUNTIFS(Table1[Player-2],tables!$B55,Table1[Winner],1,Table1[Number of Players],4)</f>
        <v>0</v>
      </c>
      <c r="F55">
        <f>COUNTIFS(Table1[Player-1],tables!$B55,Table1[Winner],1,Table1[Number of Players],4) + COUNTIFS(Table1[Player-2],tables!$B55,Table1[Winner],0,Table1[Number of Players],4)</f>
        <v>0</v>
      </c>
      <c r="G55">
        <f>COUNTIFS(Table1[Player-1],tables!$B55,Table1[Winner],0,Table1[Number of Players],6) + COUNTIFS(Table1[Player-2],tables!$B55,Table1[Winner],1,Table1[Number of Players],6)</f>
        <v>0</v>
      </c>
      <c r="H55">
        <f>COUNTIFS(Table1[Player-1],tables!$B55,Table1[Winner],1,Table1[Number of Players],6) + COUNTIFS(Table1[Player-2],tables!$B55,Table1[Winner],0,Table1[Number of Players],6)</f>
        <v>0</v>
      </c>
    </row>
    <row r="56" spans="2:13" x14ac:dyDescent="0.3">
      <c r="B56" s="1" t="s">
        <v>6</v>
      </c>
      <c r="C56">
        <f>COUNTIFS(Table1[Player-1],tables!$B56,Table1[Winner],0,Table1[Number of Players],2) + COUNTIFS(Table1[Player-2],tables!$B56,Table1[Winner],1,Table1[Number of Players],2)</f>
        <v>11</v>
      </c>
      <c r="D56">
        <f>COUNTIFS(Table1[Player-1],tables!$B56,Table1[Winner],1,Table1[Number of Players],2) + COUNTIFS(Table1[Player-2],tables!$B56,Table1[Winner],0,Table1[Number of Players],2)</f>
        <v>1</v>
      </c>
      <c r="E56">
        <f>COUNTIFS(Table1[Player-1],tables!$B56,Table1[Winner],0,Table1[Number of Players],4) + COUNTIFS(Table1[Player-2],tables!$B56,Table1[Winner],1,Table1[Number of Players],4)</f>
        <v>0</v>
      </c>
      <c r="F56">
        <f>COUNTIFS(Table1[Player-1],tables!$B56,Table1[Winner],1,Table1[Number of Players],4) + COUNTIFS(Table1[Player-2],tables!$B56,Table1[Winner],0,Table1[Number of Players],4)</f>
        <v>0</v>
      </c>
      <c r="G56">
        <f>COUNTIFS(Table1[Player-1],tables!$B56,Table1[Winner],0,Table1[Number of Players],6) + COUNTIFS(Table1[Player-2],tables!$B56,Table1[Winner],1,Table1[Number of Players],6)</f>
        <v>0</v>
      </c>
      <c r="H56">
        <f>COUNTIFS(Table1[Player-1],tables!$B56,Table1[Winner],1,Table1[Number of Players],6) + COUNTIFS(Table1[Player-2],tables!$B56,Table1[Winner],0,Table1[Number of Players],6)</f>
        <v>0</v>
      </c>
    </row>
    <row r="57" spans="2:13" x14ac:dyDescent="0.3">
      <c r="B57" s="1" t="s">
        <v>4</v>
      </c>
      <c r="C57">
        <f>COUNTIFS(Table1[Player-1],tables!$B57,Table1[Winner],0,Table1[Number of Players],2) + COUNTIFS(Table1[Player-2],tables!$B57,Table1[Winner],1,Table1[Number of Players],2)</f>
        <v>123</v>
      </c>
      <c r="D57">
        <f>COUNTIFS(Table1[Player-1],tables!$B57,Table1[Winner],1,Table1[Number of Players],2) + COUNTIFS(Table1[Player-2],tables!$B57,Table1[Winner],0,Table1[Number of Players],2)</f>
        <v>63</v>
      </c>
      <c r="E57">
        <f>COUNTIFS(Table1[Player-1],tables!$B57,Table1[Winner],0,Table1[Number of Players],4) + COUNTIFS(Table1[Player-2],tables!$B57,Table1[Winner],1,Table1[Number of Players],4)</f>
        <v>38</v>
      </c>
      <c r="F57">
        <f>COUNTIFS(Table1[Player-1],tables!$B57,Table1[Winner],1,Table1[Number of Players],4) + COUNTIFS(Table1[Player-2],tables!$B57,Table1[Winner],0,Table1[Number of Players],4)</f>
        <v>30</v>
      </c>
      <c r="G57">
        <f>COUNTIFS(Table1[Player-1],tables!$B57,Table1[Winner],0,Table1[Number of Players],6) + COUNTIFS(Table1[Player-2],tables!$B57,Table1[Winner],1,Table1[Number of Players],6)</f>
        <v>38</v>
      </c>
      <c r="H57">
        <f>COUNTIFS(Table1[Player-1],tables!$B57,Table1[Winner],1,Table1[Number of Players],6) + COUNTIFS(Table1[Player-2],tables!$B57,Table1[Winner],0,Table1[Number of Players],6)</f>
        <v>25</v>
      </c>
    </row>
    <row r="58" spans="2:13" x14ac:dyDescent="0.3">
      <c r="B58" s="1" t="s">
        <v>3</v>
      </c>
      <c r="C58">
        <f>COUNTIFS(Table1[Player-1],tables!$B58,Table1[Winner],0,Table1[Number of Players],2) + COUNTIFS(Table1[Player-2],tables!$B58,Table1[Winner],1,Table1[Number of Players],2)</f>
        <v>23</v>
      </c>
      <c r="D58">
        <f>COUNTIFS(Table1[Player-1],tables!$B58,Table1[Winner],1,Table1[Number of Players],2) + COUNTIFS(Table1[Player-2],tables!$B58,Table1[Winner],0,Table1[Number of Players],2)</f>
        <v>104</v>
      </c>
      <c r="E58">
        <f>COUNTIFS(Table1[Player-1],tables!$B58,Table1[Winner],0,Table1[Number of Players],4) + COUNTIFS(Table1[Player-2],tables!$B58,Table1[Winner],1,Table1[Number of Players],4)</f>
        <v>15</v>
      </c>
      <c r="F58">
        <f>COUNTIFS(Table1[Player-1],tables!$B58,Table1[Winner],1,Table1[Number of Players],4) + COUNTIFS(Table1[Player-2],tables!$B58,Table1[Winner],0,Table1[Number of Players],4)</f>
        <v>82</v>
      </c>
      <c r="G58">
        <f>COUNTIFS(Table1[Player-1],tables!$B58,Table1[Winner],0,Table1[Number of Players],6) + COUNTIFS(Table1[Player-2],tables!$B58,Table1[Winner],1,Table1[Number of Players],6)</f>
        <v>8</v>
      </c>
      <c r="H58">
        <f>COUNTIFS(Table1[Player-1],tables!$B58,Table1[Winner],1,Table1[Number of Players],6) + COUNTIFS(Table1[Player-2],tables!$B58,Table1[Winner],0,Table1[Number of Players],6)</f>
        <v>81</v>
      </c>
    </row>
    <row r="59" spans="2:13" x14ac:dyDescent="0.3">
      <c r="B59" s="1" t="s">
        <v>8</v>
      </c>
      <c r="C59">
        <f>COUNTIFS(Table1[Player-1],tables!$B59,Table1[Winner],0,Table1[Number of Players],2) + COUNTIFS(Table1[Player-2],tables!$B59,Table1[Winner],1,Table1[Number of Players],2)</f>
        <v>4</v>
      </c>
      <c r="D59">
        <f>COUNTIFS(Table1[Player-1],tables!$B59,Table1[Winner],1,Table1[Number of Players],2) + COUNTIFS(Table1[Player-2],tables!$B59,Table1[Winner],0,Table1[Number of Players],2)</f>
        <v>10</v>
      </c>
      <c r="E59">
        <f>COUNTIFS(Table1[Player-1],tables!$B59,Table1[Winner],0,Table1[Number of Players],4) + COUNTIFS(Table1[Player-2],tables!$B59,Table1[Winner],1,Table1[Number of Players],4)</f>
        <v>0</v>
      </c>
      <c r="F59">
        <f>COUNTIFS(Table1[Player-1],tables!$B59,Table1[Winner],1,Table1[Number of Players],4) + COUNTIFS(Table1[Player-2],tables!$B59,Table1[Winner],0,Table1[Number of Players],4)</f>
        <v>0</v>
      </c>
      <c r="G59">
        <f>COUNTIFS(Table1[Player-1],tables!$B59,Table1[Winner],0,Table1[Number of Players],6) + COUNTIFS(Table1[Player-2],tables!$B59,Table1[Winner],1,Table1[Number of Players],6)</f>
        <v>0</v>
      </c>
      <c r="H59">
        <f>COUNTIFS(Table1[Player-1],tables!$B59,Table1[Winner],1,Table1[Number of Players],6) + COUNTIFS(Table1[Player-2],tables!$B59,Table1[Winner],0,Table1[Number of Players],6)</f>
        <v>0</v>
      </c>
    </row>
    <row r="60" spans="2:13" x14ac:dyDescent="0.3">
      <c r="B60" s="2" t="s">
        <v>7</v>
      </c>
      <c r="C60">
        <f>COUNTIFS(Table1[Player-1],tables!$B60,Table1[Winner],0,Table1[Number of Players],2) + COUNTIFS(Table1[Player-2],tables!$B60,Table1[Winner],1,Table1[Number of Players],2)</f>
        <v>0</v>
      </c>
      <c r="D60">
        <f>COUNTIFS(Table1[Player-1],tables!$B60,Table1[Winner],1,Table1[Number of Players],2) + COUNTIFS(Table1[Player-2],tables!$B60,Table1[Winner],0,Table1[Number of Players],2)</f>
        <v>6</v>
      </c>
      <c r="E60">
        <f>COUNTIFS(Table1[Player-1],tables!$B60,Table1[Winner],0,Table1[Number of Players],4) + COUNTIFS(Table1[Player-2],tables!$B60,Table1[Winner],1,Table1[Number of Players],4)</f>
        <v>0</v>
      </c>
      <c r="F60">
        <f>COUNTIFS(Table1[Player-1],tables!$B60,Table1[Winner],1,Table1[Number of Players],4) + COUNTIFS(Table1[Player-2],tables!$B60,Table1[Winner],0,Table1[Number of Players],4)</f>
        <v>0</v>
      </c>
      <c r="G60">
        <f>COUNTIFS(Table1[Player-1],tables!$B60,Table1[Winner],0,Table1[Number of Players],6) + COUNTIFS(Table1[Player-2],tables!$B60,Table1[Winner],1,Table1[Number of Players],6)</f>
        <v>0</v>
      </c>
      <c r="H60">
        <f>COUNTIFS(Table1[Player-1],tables!$B60,Table1[Winner],1,Table1[Number of Players],6) + COUNTIFS(Table1[Player-2],tables!$B60,Table1[Winner],0,Table1[Number of Players],6)</f>
        <v>0</v>
      </c>
    </row>
    <row r="61" spans="2:13" x14ac:dyDescent="0.3">
      <c r="B61" s="1" t="s">
        <v>5</v>
      </c>
      <c r="C61">
        <f>COUNTIFS(Table1[Player-1],tables!$B61,Table1[Winner],0,Table1[Number of Players],2) + COUNTIFS(Table1[Player-2],tables!$B61,Table1[Winner],1,Table1[Number of Players],2)</f>
        <v>153</v>
      </c>
      <c r="D61">
        <f>COUNTIFS(Table1[Player-1],tables!$B61,Table1[Winner],1,Table1[Number of Players],2) + COUNTIFS(Table1[Player-2],tables!$B61,Table1[Winner],0,Table1[Number of Players],2)</f>
        <v>103</v>
      </c>
      <c r="E61">
        <f>COUNTIFS(Table1[Player-1],tables!$B61,Table1[Winner],0,Table1[Number of Players],4) + COUNTIFS(Table1[Player-2],tables!$B61,Table1[Winner],1,Table1[Number of Players],4)</f>
        <v>131</v>
      </c>
      <c r="F61">
        <f>COUNTIFS(Table1[Player-1],tables!$B61,Table1[Winner],1,Table1[Number of Players],4) + COUNTIFS(Table1[Player-2],tables!$B61,Table1[Winner],0,Table1[Number of Players],4)</f>
        <v>71</v>
      </c>
      <c r="G61">
        <f>COUNTIFS(Table1[Player-1],tables!$B61,Table1[Winner],0,Table1[Number of Players],6) + COUNTIFS(Table1[Player-2],tables!$B61,Table1[Winner],1,Table1[Number of Players],6)</f>
        <v>113</v>
      </c>
      <c r="H61">
        <f>COUNTIFS(Table1[Player-1],tables!$B61,Table1[Winner],1,Table1[Number of Players],6) + COUNTIFS(Table1[Player-2],tables!$B61,Table1[Winner],0,Table1[Number of Players],6)</f>
        <v>76</v>
      </c>
    </row>
    <row r="62" spans="2:13" x14ac:dyDescent="0.3">
      <c r="B62" s="1" t="s">
        <v>1</v>
      </c>
      <c r="C62">
        <f>COUNTIFS(Table1[Player-1],tables!$B62,Table1[Winner],0,Table1[Number of Players],2) + COUNTIFS(Table1[Player-2],tables!$B62,Table1[Winner],1,Table1[Number of Players],2)</f>
        <v>29</v>
      </c>
      <c r="D62">
        <f>COUNTIFS(Table1[Player-1],tables!$B62,Table1[Winner],1,Table1[Number of Players],2) + COUNTIFS(Table1[Player-2],tables!$B62,Table1[Winner],0,Table1[Number of Players],2)</f>
        <v>89</v>
      </c>
      <c r="E62">
        <f>COUNTIFS(Table1[Player-1],tables!$B62,Table1[Winner],0,Table1[Number of Players],4) + COUNTIFS(Table1[Player-2],tables!$B62,Table1[Winner],1,Table1[Number of Players],4)</f>
        <v>9</v>
      </c>
      <c r="F62">
        <f>COUNTIFS(Table1[Player-1],tables!$B62,Table1[Winner],1,Table1[Number of Players],4) + COUNTIFS(Table1[Player-2],tables!$B62,Table1[Winner],0,Table1[Number of Players],4)</f>
        <v>85</v>
      </c>
      <c r="G62">
        <f>COUNTIFS(Table1[Player-1],tables!$B62,Table1[Winner],0,Table1[Number of Players],6) + COUNTIFS(Table1[Player-2],tables!$B62,Table1[Winner],1,Table1[Number of Players],6)</f>
        <v>9</v>
      </c>
      <c r="H62">
        <f>COUNTIFS(Table1[Player-1],tables!$B62,Table1[Winner],1,Table1[Number of Players],6) + COUNTIFS(Table1[Player-2],tables!$B62,Table1[Winner],0,Table1[Number of Players],6)</f>
        <v>81</v>
      </c>
    </row>
    <row r="63" spans="2:13" x14ac:dyDescent="0.3">
      <c r="B63" s="1" t="s">
        <v>2</v>
      </c>
      <c r="C63">
        <f>COUNTIFS(Table1[Player-1],tables!$B63,Table1[Winner],0,Table1[Number of Players],2) + COUNTIFS(Table1[Player-2],tables!$B63,Table1[Winner],1,Table1[Number of Players],2)</f>
        <v>82</v>
      </c>
      <c r="D63">
        <f>COUNTIFS(Table1[Player-1],tables!$B63,Table1[Winner],1,Table1[Number of Players],2) + COUNTIFS(Table1[Player-2],tables!$B63,Table1[Winner],0,Table1[Number of Players],2)</f>
        <v>14</v>
      </c>
      <c r="E63">
        <f>COUNTIFS(Table1[Player-1],tables!$B63,Table1[Winner],0,Table1[Number of Players],4) + COUNTIFS(Table1[Player-2],tables!$B63,Table1[Winner],1,Table1[Number of Players],4)</f>
        <v>63</v>
      </c>
      <c r="F63">
        <f>COUNTIFS(Table1[Player-1],tables!$B63,Table1[Winner],1,Table1[Number of Players],4) + COUNTIFS(Table1[Player-2],tables!$B63,Table1[Winner],0,Table1[Number of Players],4)</f>
        <v>2</v>
      </c>
      <c r="G63">
        <f>COUNTIFS(Table1[Player-1],tables!$B63,Table1[Winner],0,Table1[Number of Players],6) + COUNTIFS(Table1[Player-2],tables!$B63,Table1[Winner],1,Table1[Number of Players],6)</f>
        <v>63</v>
      </c>
      <c r="H63">
        <f>COUNTIFS(Table1[Player-1],tables!$B63,Table1[Winner],1,Table1[Number of Players],6) + COUNTIFS(Table1[Player-2],tables!$B63,Table1[Winner],0,Table1[Number of Players],6)</f>
        <v>3</v>
      </c>
    </row>
    <row r="64" spans="2:13" x14ac:dyDescent="0.3">
      <c r="B64" s="1" t="s">
        <v>10</v>
      </c>
      <c r="C64">
        <f>COUNTIFS(Table1[Player-1],tables!$B64,Table1[Winner],0,Table1[Number of Players],2) + COUNTIFS(Table1[Player-2],tables!$B64,Table1[Winner],1,Table1[Number of Players],2)</f>
        <v>54</v>
      </c>
      <c r="D64">
        <f>COUNTIFS(Table1[Player-1],tables!$B64,Table1[Winner],1,Table1[Number of Players],2) + COUNTIFS(Table1[Player-2],tables!$B64,Table1[Winner],0,Table1[Number of Players],2)</f>
        <v>82</v>
      </c>
      <c r="E64">
        <f>COUNTIFS(Table1[Player-1],tables!$B64,Table1[Winner],0,Table1[Number of Players],4) + COUNTIFS(Table1[Player-2],tables!$B64,Table1[Winner],1,Table1[Number of Players],4)</f>
        <v>56</v>
      </c>
      <c r="F64">
        <f>COUNTIFS(Table1[Player-1],tables!$B64,Table1[Winner],1,Table1[Number of Players],4) + COUNTIFS(Table1[Player-2],tables!$B64,Table1[Winner],0,Table1[Number of Players],4)</f>
        <v>42</v>
      </c>
      <c r="G64">
        <f>COUNTIFS(Table1[Player-1],tables!$B64,Table1[Winner],0,Table1[Number of Players],6) + COUNTIFS(Table1[Player-2],tables!$B64,Table1[Winner],1,Table1[Number of Players],6)</f>
        <v>62</v>
      </c>
      <c r="H64">
        <f>COUNTIFS(Table1[Player-1],tables!$B64,Table1[Winner],1,Table1[Number of Players],6) + COUNTIFS(Table1[Player-2],tables!$B64,Table1[Winner],0,Table1[Number of Players],6)</f>
        <v>27</v>
      </c>
    </row>
    <row r="66" spans="2:8" x14ac:dyDescent="0.3">
      <c r="C66" s="1" t="s">
        <v>26</v>
      </c>
      <c r="D66" s="1" t="s">
        <v>27</v>
      </c>
      <c r="E66" s="1" t="s">
        <v>28</v>
      </c>
      <c r="F66" s="1" t="s">
        <v>29</v>
      </c>
      <c r="G66" s="1" t="s">
        <v>30</v>
      </c>
      <c r="H66" s="1" t="s">
        <v>31</v>
      </c>
    </row>
    <row r="67" spans="2:8" x14ac:dyDescent="0.3">
      <c r="B67" s="1" t="s">
        <v>9</v>
      </c>
      <c r="C67" s="18">
        <f>IF(F67 &gt; 0,C55 / F67,"N/A")</f>
        <v>0</v>
      </c>
      <c r="D67" s="5" t="str">
        <f>IF(G67 &gt; 0,E55 / G67,"N/A")</f>
        <v>N/A</v>
      </c>
      <c r="E67" s="5" t="str">
        <f>IF(H67 &gt; 0,G55 / H67,"N/A")</f>
        <v>N/A</v>
      </c>
      <c r="F67">
        <f>SUM(C55:D55)</f>
        <v>7</v>
      </c>
      <c r="G67">
        <f>SUM(E55:F55)</f>
        <v>0</v>
      </c>
      <c r="H67">
        <f>SUM(G55:H55)</f>
        <v>0</v>
      </c>
    </row>
    <row r="68" spans="2:8" x14ac:dyDescent="0.3">
      <c r="B68" s="1" t="s">
        <v>6</v>
      </c>
      <c r="C68" s="18">
        <f t="shared" ref="C68:C76" si="3">IF(F68 &gt; 0,C56 / F68,"N/A")</f>
        <v>0.91666666666666663</v>
      </c>
      <c r="D68" s="5" t="str">
        <f t="shared" ref="D68:D76" si="4">IF(G68 &gt; 0,E56 / G68,"N/A")</f>
        <v>N/A</v>
      </c>
      <c r="E68" s="5" t="str">
        <f t="shared" ref="E68:E76" si="5">IF(H68 &gt; 0,G56 / H68,"N/A")</f>
        <v>N/A</v>
      </c>
      <c r="F68">
        <f t="shared" ref="F68:F76" si="6">SUM(C56:D56)</f>
        <v>12</v>
      </c>
      <c r="G68">
        <f t="shared" ref="G68:G76" si="7">SUM(E56:F56)</f>
        <v>0</v>
      </c>
      <c r="H68">
        <f t="shared" ref="H68:H76" si="8">SUM(G56:H56)</f>
        <v>0</v>
      </c>
    </row>
    <row r="69" spans="2:8" x14ac:dyDescent="0.3">
      <c r="B69" s="1" t="s">
        <v>4</v>
      </c>
      <c r="C69" s="10">
        <f t="shared" si="3"/>
        <v>0.66129032258064513</v>
      </c>
      <c r="D69" s="10">
        <f t="shared" si="4"/>
        <v>0.55882352941176472</v>
      </c>
      <c r="E69" s="10">
        <f t="shared" si="5"/>
        <v>0.60317460317460314</v>
      </c>
      <c r="F69">
        <f t="shared" si="6"/>
        <v>186</v>
      </c>
      <c r="G69">
        <f t="shared" si="7"/>
        <v>68</v>
      </c>
      <c r="H69">
        <f t="shared" si="8"/>
        <v>63</v>
      </c>
    </row>
    <row r="70" spans="2:8" x14ac:dyDescent="0.3">
      <c r="B70" s="1" t="s">
        <v>3</v>
      </c>
      <c r="C70" s="10">
        <f t="shared" si="3"/>
        <v>0.18110236220472442</v>
      </c>
      <c r="D70" s="10">
        <f t="shared" si="4"/>
        <v>0.15463917525773196</v>
      </c>
      <c r="E70" s="10">
        <f t="shared" si="5"/>
        <v>8.98876404494382E-2</v>
      </c>
      <c r="F70">
        <f t="shared" si="6"/>
        <v>127</v>
      </c>
      <c r="G70">
        <f t="shared" si="7"/>
        <v>97</v>
      </c>
      <c r="H70">
        <f t="shared" si="8"/>
        <v>89</v>
      </c>
    </row>
    <row r="71" spans="2:8" x14ac:dyDescent="0.3">
      <c r="B71" s="1" t="s">
        <v>8</v>
      </c>
      <c r="C71" s="18">
        <f t="shared" si="3"/>
        <v>0.2857142857142857</v>
      </c>
      <c r="D71" s="5" t="str">
        <f t="shared" si="4"/>
        <v>N/A</v>
      </c>
      <c r="E71" s="5" t="str">
        <f t="shared" si="5"/>
        <v>N/A</v>
      </c>
      <c r="F71">
        <f t="shared" si="6"/>
        <v>14</v>
      </c>
      <c r="G71">
        <f t="shared" si="7"/>
        <v>0</v>
      </c>
      <c r="H71">
        <f t="shared" si="8"/>
        <v>0</v>
      </c>
    </row>
    <row r="72" spans="2:8" x14ac:dyDescent="0.3">
      <c r="B72" s="2" t="s">
        <v>7</v>
      </c>
      <c r="C72" s="18">
        <f t="shared" si="3"/>
        <v>0</v>
      </c>
      <c r="D72" s="5" t="str">
        <f t="shared" si="4"/>
        <v>N/A</v>
      </c>
      <c r="E72" s="5" t="str">
        <f t="shared" si="5"/>
        <v>N/A</v>
      </c>
      <c r="F72">
        <f t="shared" si="6"/>
        <v>6</v>
      </c>
      <c r="G72">
        <f t="shared" si="7"/>
        <v>0</v>
      </c>
      <c r="H72">
        <f t="shared" si="8"/>
        <v>0</v>
      </c>
    </row>
    <row r="73" spans="2:8" x14ac:dyDescent="0.3">
      <c r="B73" s="1" t="s">
        <v>5</v>
      </c>
      <c r="C73" s="10">
        <f t="shared" si="3"/>
        <v>0.59765625</v>
      </c>
      <c r="D73" s="10">
        <f t="shared" si="4"/>
        <v>0.64851485148514854</v>
      </c>
      <c r="E73" s="10">
        <f t="shared" si="5"/>
        <v>0.59788359788359791</v>
      </c>
      <c r="F73">
        <f t="shared" si="6"/>
        <v>256</v>
      </c>
      <c r="G73">
        <f t="shared" si="7"/>
        <v>202</v>
      </c>
      <c r="H73">
        <f t="shared" si="8"/>
        <v>189</v>
      </c>
    </row>
    <row r="74" spans="2:8" x14ac:dyDescent="0.3">
      <c r="B74" s="1" t="s">
        <v>1</v>
      </c>
      <c r="C74" s="10">
        <f t="shared" si="3"/>
        <v>0.24576271186440679</v>
      </c>
      <c r="D74" s="10">
        <f t="shared" si="4"/>
        <v>9.5744680851063829E-2</v>
      </c>
      <c r="E74" s="10">
        <f t="shared" si="5"/>
        <v>0.1</v>
      </c>
      <c r="F74">
        <f t="shared" si="6"/>
        <v>118</v>
      </c>
      <c r="G74">
        <f t="shared" si="7"/>
        <v>94</v>
      </c>
      <c r="H74">
        <f t="shared" si="8"/>
        <v>90</v>
      </c>
    </row>
    <row r="75" spans="2:8" x14ac:dyDescent="0.3">
      <c r="B75" s="1" t="s">
        <v>2</v>
      </c>
      <c r="C75" s="10">
        <f t="shared" si="3"/>
        <v>0.85416666666666663</v>
      </c>
      <c r="D75" s="10">
        <f t="shared" si="4"/>
        <v>0.96923076923076923</v>
      </c>
      <c r="E75" s="10">
        <f t="shared" si="5"/>
        <v>0.95454545454545459</v>
      </c>
      <c r="F75">
        <f t="shared" si="6"/>
        <v>96</v>
      </c>
      <c r="G75">
        <f t="shared" si="7"/>
        <v>65</v>
      </c>
      <c r="H75">
        <f t="shared" si="8"/>
        <v>66</v>
      </c>
    </row>
    <row r="76" spans="2:8" x14ac:dyDescent="0.3">
      <c r="B76" s="1" t="s">
        <v>10</v>
      </c>
      <c r="C76" s="10">
        <f t="shared" si="3"/>
        <v>0.39705882352941174</v>
      </c>
      <c r="D76" s="10">
        <f t="shared" si="4"/>
        <v>0.5714285714285714</v>
      </c>
      <c r="E76" s="10">
        <f t="shared" si="5"/>
        <v>0.6966292134831461</v>
      </c>
      <c r="F76">
        <f t="shared" si="6"/>
        <v>136</v>
      </c>
      <c r="G76">
        <f t="shared" si="7"/>
        <v>98</v>
      </c>
      <c r="H76">
        <f t="shared" si="8"/>
        <v>89</v>
      </c>
    </row>
    <row r="80" spans="2:8" x14ac:dyDescent="0.3">
      <c r="B80" s="1" t="s">
        <v>39</v>
      </c>
    </row>
    <row r="82" spans="1:13" x14ac:dyDescent="0.3">
      <c r="C82" t="s">
        <v>13</v>
      </c>
      <c r="H82" s="9"/>
    </row>
    <row r="83" spans="1:13" x14ac:dyDescent="0.3">
      <c r="B83" s="5" t="s">
        <v>17</v>
      </c>
      <c r="C83" s="19" t="s">
        <v>4</v>
      </c>
      <c r="D83" s="19" t="s">
        <v>3</v>
      </c>
      <c r="E83" s="19" t="s">
        <v>5</v>
      </c>
      <c r="F83" s="19" t="s">
        <v>1</v>
      </c>
      <c r="G83" s="19" t="s">
        <v>2</v>
      </c>
      <c r="H83" s="19" t="s">
        <v>10</v>
      </c>
      <c r="I83" s="1" t="s">
        <v>40</v>
      </c>
      <c r="J83" s="21"/>
    </row>
    <row r="84" spans="1:13" x14ac:dyDescent="0.3">
      <c r="A84" t="s">
        <v>14</v>
      </c>
      <c r="B84" s="1" t="s">
        <v>4</v>
      </c>
      <c r="C84" s="5" t="str">
        <f>E32</f>
        <v>N/A</v>
      </c>
      <c r="D84" s="5">
        <f>F32</f>
        <v>0.86</v>
      </c>
      <c r="E84" s="5">
        <f t="shared" ref="E84:H85" si="9">I32</f>
        <v>0.69306930693069302</v>
      </c>
      <c r="F84" s="5">
        <f t="shared" si="9"/>
        <v>0.72340425531914898</v>
      </c>
      <c r="G84" s="5">
        <f t="shared" si="9"/>
        <v>0.1875</v>
      </c>
      <c r="H84" s="5">
        <f t="shared" si="9"/>
        <v>0.61111111111111116</v>
      </c>
      <c r="I84" s="23">
        <f>(COUNTIFS(Table1[Player-1],B84,Table1[ Winner ],0) + COUNTIFS(Table1[Player-2],B84,Table1[ Winner ],1)) / LOOKUP(B84,$C$41:$L$41,$C$52:$L$52)</f>
        <v>0.62776025236593058</v>
      </c>
      <c r="J84" s="9"/>
      <c r="K84" s="5"/>
      <c r="L84" s="5"/>
    </row>
    <row r="85" spans="1:13" x14ac:dyDescent="0.3">
      <c r="B85" s="1" t="s">
        <v>3</v>
      </c>
      <c r="C85" s="5">
        <f>E33</f>
        <v>0.14000000000000001</v>
      </c>
      <c r="D85" s="5" t="str">
        <f>F33</f>
        <v>N/A</v>
      </c>
      <c r="E85" s="5">
        <f t="shared" si="9"/>
        <v>2.6315789473684209E-2</v>
      </c>
      <c r="F85" s="5">
        <f t="shared" si="9"/>
        <v>0.47222222222222221</v>
      </c>
      <c r="G85" s="5">
        <f t="shared" si="9"/>
        <v>6.4516129032258063E-2</v>
      </c>
      <c r="H85" s="5">
        <f t="shared" si="9"/>
        <v>0.37209302325581395</v>
      </c>
      <c r="I85" s="23">
        <f>(COUNTIFS(Table1[Player-1],B85,Table1[ Winner ],0) + COUNTIFS(Table1[Player-2],B85,Table1[ Winner ],1)) / LOOKUP(B85,$C$41:$L$41,$C$52:$L$52)</f>
        <v>0.14696485623003194</v>
      </c>
      <c r="J85" s="9"/>
      <c r="K85" s="5"/>
      <c r="L85" s="5"/>
    </row>
    <row r="86" spans="1:13" x14ac:dyDescent="0.3">
      <c r="B86" s="1" t="s">
        <v>5</v>
      </c>
      <c r="C86" s="5">
        <f t="shared" ref="C86:D89" si="10">E36</f>
        <v>0.30693069306930693</v>
      </c>
      <c r="D86" s="5">
        <f t="shared" si="10"/>
        <v>0.97368421052631582</v>
      </c>
      <c r="E86" s="5" t="str">
        <f t="shared" ref="E86:H89" si="11">I36</f>
        <v>N/A</v>
      </c>
      <c r="F86" s="5">
        <f t="shared" si="11"/>
        <v>0.99328859060402686</v>
      </c>
      <c r="G86" s="5">
        <f t="shared" si="11"/>
        <v>1.2195121951219513E-2</v>
      </c>
      <c r="H86" s="5">
        <f t="shared" si="11"/>
        <v>0.40259740259740262</v>
      </c>
      <c r="I86" s="23">
        <f>(COUNTIFS(Table1[Player-1],B86,Table1[ Winner ],0) + COUNTIFS(Table1[Player-2],B86,Table1[ Winner ],1)) / LOOKUP(B86,$C$41:$L$41,$C$52:$L$52)</f>
        <v>0.61360123647604325</v>
      </c>
      <c r="J86" s="22"/>
    </row>
    <row r="87" spans="1:13" x14ac:dyDescent="0.3">
      <c r="B87" s="1" t="s">
        <v>1</v>
      </c>
      <c r="C87" s="5">
        <f t="shared" si="10"/>
        <v>0.27659574468085107</v>
      </c>
      <c r="D87" s="5">
        <f t="shared" si="10"/>
        <v>0.52777777777777779</v>
      </c>
      <c r="E87" s="5">
        <f t="shared" si="11"/>
        <v>6.7114093959731542E-3</v>
      </c>
      <c r="F87" s="5" t="str">
        <f t="shared" si="11"/>
        <v>N/A</v>
      </c>
      <c r="G87" s="5">
        <f t="shared" si="11"/>
        <v>0.12903225806451613</v>
      </c>
      <c r="H87" s="5">
        <f t="shared" si="11"/>
        <v>0.27027027027027029</v>
      </c>
      <c r="I87" s="23">
        <f>(COUNTIFS(Table1[Player-1],B87,Table1[ Winner ],0) + COUNTIFS(Table1[Player-2],B87,Table1[ Winner ],1)) / LOOKUP(B87,$C$41:$L$41,$C$52:$L$52)</f>
        <v>0.15562913907284767</v>
      </c>
      <c r="J87" s="9"/>
    </row>
    <row r="88" spans="1:13" x14ac:dyDescent="0.3">
      <c r="B88" s="1" t="s">
        <v>2</v>
      </c>
      <c r="C88" s="5">
        <f t="shared" si="10"/>
        <v>0.8125</v>
      </c>
      <c r="D88" s="5">
        <f t="shared" si="10"/>
        <v>0.93548387096774188</v>
      </c>
      <c r="E88" s="5">
        <f t="shared" si="11"/>
        <v>0.98780487804878048</v>
      </c>
      <c r="F88" s="5">
        <f t="shared" si="11"/>
        <v>0.87096774193548387</v>
      </c>
      <c r="G88" s="5" t="str">
        <f t="shared" si="11"/>
        <v>N/A</v>
      </c>
      <c r="H88" s="5">
        <f t="shared" si="11"/>
        <v>0.90625</v>
      </c>
      <c r="I88" s="23">
        <f>(COUNTIFS(Table1[Player-1],B88,Table1[ Winner ],0) + COUNTIFS(Table1[Player-2],B88,Table1[ Winner ],1)) / LOOKUP(B88,$C$41:$L$41,$C$52:$L$52)</f>
        <v>0.91629955947136565</v>
      </c>
      <c r="J88" s="9"/>
    </row>
    <row r="89" spans="1:13" x14ac:dyDescent="0.3">
      <c r="B89" s="1" t="s">
        <v>10</v>
      </c>
      <c r="C89" s="5">
        <f t="shared" si="10"/>
        <v>0.3888888888888889</v>
      </c>
      <c r="D89" s="5">
        <f t="shared" si="10"/>
        <v>0.62790697674418605</v>
      </c>
      <c r="E89" s="5">
        <f t="shared" si="11"/>
        <v>0.59740259740259738</v>
      </c>
      <c r="F89" s="5">
        <f t="shared" si="11"/>
        <v>0.72972972972972971</v>
      </c>
      <c r="G89" s="5">
        <f t="shared" si="11"/>
        <v>9.375E-2</v>
      </c>
      <c r="H89" s="5" t="str">
        <f t="shared" si="11"/>
        <v>N/A</v>
      </c>
      <c r="I89" s="23">
        <f>(COUNTIFS(Table1[Player-1],B89,Table1[ Winner ],0) + COUNTIFS(Table1[Player-2],B89,Table1[ Winner ],1)) / LOOKUP(B89,$C$41:$L$41,$C$52:$L$52)</f>
        <v>0.53250773993808054</v>
      </c>
      <c r="J89" s="21"/>
    </row>
    <row r="90" spans="1:13" x14ac:dyDescent="0.3">
      <c r="C90" s="5"/>
    </row>
    <row r="91" spans="1:13" x14ac:dyDescent="0.3">
      <c r="B91" s="27"/>
      <c r="C91" s="30" t="s">
        <v>44</v>
      </c>
      <c r="D91" s="28" t="s">
        <v>45</v>
      </c>
    </row>
    <row r="92" spans="1:13" x14ac:dyDescent="0.3">
      <c r="B92" s="28" t="s">
        <v>9</v>
      </c>
      <c r="C92" s="26">
        <f>(SUMIF(Table1[Player-1],B92,Table1[Time (min)]) + SUMIF(Table1[Player-2],B92,Table1[Time (min)])) / LOOKUP(B92,$C$41:$L$41,$C$52:$L$52)</f>
        <v>299.37142857142857</v>
      </c>
      <c r="D92" s="25">
        <f>MIN(_xlfn.MINIFS(Table1[Time (ns)],Table1[Player-1],B92),_xlfn.MINIFS(Table1[Time (ns)],Table1[Player-2],B92)) / 1000000000</f>
        <v>5185.425381</v>
      </c>
    </row>
    <row r="93" spans="1:13" x14ac:dyDescent="0.3">
      <c r="B93" s="28" t="s">
        <v>6</v>
      </c>
      <c r="C93" s="26">
        <f>(SUMIF(Table1[Player-1],B93,Table1[Time (min)]) + SUMIF(Table1[Player-2],B93,Table1[Time (min)])) / LOOKUP(B93,$C$41:$L$41,$C$52:$L$52)</f>
        <v>132.38333333333333</v>
      </c>
      <c r="D93" s="25">
        <f>MIN(_xlfn.MINIFS(Table1[Time (ns)],Table1[Player-1],B93),_xlfn.MINIFS(Table1[Time (ns)],Table1[Player-2],B93)) / 1000000000</f>
        <v>3314.0683183679998</v>
      </c>
      <c r="M93" s="9"/>
    </row>
    <row r="94" spans="1:13" x14ac:dyDescent="0.3">
      <c r="B94" s="28" t="s">
        <v>4</v>
      </c>
      <c r="C94" s="26">
        <f>(SUMIF(Table1[Player-1],B94,Table1[Time (min)]) + SUMIF(Table1[Player-2],B94,Table1[Time (min)])) / LOOKUP(B94,$C$41:$L$41,$C$52:$L$52)</f>
        <v>9.3359621451104076</v>
      </c>
      <c r="D94" s="25">
        <f>MIN(_xlfn.MINIFS(Table1[Time (ns)],Table1[Player-1],B94),_xlfn.MINIFS(Table1[Time (ns)],Table1[Player-2],B94)) / 1000000000</f>
        <v>12.476160401</v>
      </c>
      <c r="H94" s="9"/>
    </row>
    <row r="95" spans="1:13" x14ac:dyDescent="0.3">
      <c r="B95" s="28" t="s">
        <v>3</v>
      </c>
      <c r="C95" s="26">
        <f>(SUMIF(Table1[Player-1],B95,Table1[Time (min)]) + SUMIF(Table1[Player-2],B95,Table1[Time (min)])) / LOOKUP(B95,$C$41:$L$41,$C$52:$L$52)</f>
        <v>5.2003194888178923</v>
      </c>
      <c r="D95" s="25">
        <f>MIN(_xlfn.MINIFS(Table1[Time (ns)],Table1[Player-1],B95),_xlfn.MINIFS(Table1[Time (ns)],Table1[Player-2],B95)) / 1000000000</f>
        <v>3.2320300000000003E-2</v>
      </c>
    </row>
    <row r="96" spans="1:13" x14ac:dyDescent="0.3">
      <c r="B96" s="28" t="s">
        <v>8</v>
      </c>
      <c r="C96" s="26">
        <f>(SUMIF(Table1[Player-1],B96,Table1[Time (min)]) + SUMIF(Table1[Player-2],B96,Table1[Time (min)])) / LOOKUP(B96,$C$41:$L$41,$C$52:$L$52)</f>
        <v>147.73571428571429</v>
      </c>
      <c r="D96" s="25">
        <f>MIN(_xlfn.MINIFS(Table1[Time (ns)],Table1[Player-1],B96),_xlfn.MINIFS(Table1[Time (ns)],Table1[Player-2],B96)) / 1000000000</f>
        <v>1902.0210556980001</v>
      </c>
    </row>
    <row r="97" spans="2:4" x14ac:dyDescent="0.3">
      <c r="B97" s="29" t="s">
        <v>7</v>
      </c>
      <c r="C97" s="26">
        <f>(SUMIF(Table1[Player-1],B97,Table1[Time (min)]) + SUMIF(Table1[Player-2],B97,Table1[Time (min)])) / LOOKUP(B97,$C$41:$L$41,$C$52:$L$52)</f>
        <v>66.116666666666674</v>
      </c>
      <c r="D97" s="25">
        <f>MIN(_xlfn.MINIFS(Table1[Time (ns)],Table1[Player-1],B97),_xlfn.MINIFS(Table1[Time (ns)],Table1[Player-2],B97)) / 1000000000</f>
        <v>1469.661155711</v>
      </c>
    </row>
    <row r="98" spans="2:4" x14ac:dyDescent="0.3">
      <c r="B98" s="28" t="s">
        <v>5</v>
      </c>
      <c r="C98" s="26">
        <f>(SUMIF(Table1[Player-1],B98,Table1[Time (min)]) + SUMIF(Table1[Player-2],B98,Table1[Time (min)])) / LOOKUP(B98,$C$41:$L$41,$C$52:$L$52)</f>
        <v>9.2641421947449789</v>
      </c>
      <c r="D98" s="25">
        <f>MIN(_xlfn.MINIFS(Table1[Time (ns)],Table1[Player-1],B98),_xlfn.MINIFS(Table1[Time (ns)],Table1[Player-2],B98)) / 1000000000</f>
        <v>24.671322</v>
      </c>
    </row>
    <row r="99" spans="2:4" x14ac:dyDescent="0.3">
      <c r="B99" s="28" t="s">
        <v>1</v>
      </c>
      <c r="C99" s="26">
        <f>(SUMIF(Table1[Player-1],B99,Table1[Time (min)]) + SUMIF(Table1[Player-2],B99,Table1[Time (min)])) / LOOKUP(B99,$C$41:$L$41,$C$52:$L$52)</f>
        <v>5.8298013245033129</v>
      </c>
      <c r="D99" s="25">
        <f>MIN(_xlfn.MINIFS(Table1[Time (ns)],Table1[Player-1],B99),_xlfn.MINIFS(Table1[Time (ns)],Table1[Player-2],B99)) / 1000000000</f>
        <v>0.2292091</v>
      </c>
    </row>
    <row r="100" spans="2:4" x14ac:dyDescent="0.3">
      <c r="B100" s="28" t="s">
        <v>2</v>
      </c>
      <c r="C100" s="26">
        <f>(SUMIF(Table1[Player-1],B100,Table1[Time (min)]) + SUMIF(Table1[Player-2],B100,Table1[Time (min)])) / LOOKUP(B100,$C$41:$L$41,$C$52:$L$52)</f>
        <v>4.439207048458151</v>
      </c>
      <c r="D100" s="25">
        <f>MIN(_xlfn.MINIFS(Table1[Time (ns)],Table1[Player-1],B100),_xlfn.MINIFS(Table1[Time (ns)],Table1[Player-2],B100)) / 1000000000</f>
        <v>0.10523970000000001</v>
      </c>
    </row>
    <row r="101" spans="2:4" x14ac:dyDescent="0.3">
      <c r="B101" s="28" t="s">
        <v>10</v>
      </c>
      <c r="C101" s="26">
        <f>(SUMIF(Table1[Player-1],B101,Table1[Time (min)]) + SUMIF(Table1[Player-2],B101,Table1[Time (min)])) / LOOKUP(B101,$C$41:$L$41,$C$52:$L$52)</f>
        <v>6.3832817337461307</v>
      </c>
      <c r="D101" s="25">
        <f>MIN(_xlfn.MINIFS(Table1[Time (ns)],Table1[Player-1],B101),_xlfn.MINIFS(Table1[Time (ns)],Table1[Player-2],B101)) / 1000000000</f>
        <v>3.2320300000000003E-2</v>
      </c>
    </row>
  </sheetData>
  <conditionalFormatting sqref="F67:H76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30:L39">
    <cfRule type="expression" dxfId="29" priority="11">
      <formula>C42 &gt; 50</formula>
    </cfRule>
    <cfRule type="expression" dxfId="28" priority="12">
      <formula>C42 &gt; 25</formula>
    </cfRule>
    <cfRule type="expression" dxfId="27" priority="13">
      <formula>C42 &gt; 10</formula>
    </cfRule>
    <cfRule type="expression" dxfId="26" priority="14">
      <formula>C42 &gt; 0</formula>
    </cfRule>
    <cfRule type="expression" dxfId="25" priority="15">
      <formula>C42 = 0</formula>
    </cfRule>
  </conditionalFormatting>
  <conditionalFormatting sqref="D85 C84">
    <cfRule type="expression" dxfId="24" priority="19">
      <formula>E44 &gt; 50</formula>
    </cfRule>
    <cfRule type="expression" dxfId="23" priority="20">
      <formula>E44 &gt; 25</formula>
    </cfRule>
    <cfRule type="expression" dxfId="22" priority="21">
      <formula>E44 &gt; 10</formula>
    </cfRule>
    <cfRule type="expression" dxfId="21" priority="22">
      <formula>E44 &gt; 0</formula>
    </cfRule>
    <cfRule type="expression" dxfId="20" priority="23">
      <formula>E44 = 0</formula>
    </cfRule>
  </conditionalFormatting>
  <conditionalFormatting sqref="H89 E86 F87 G88">
    <cfRule type="expression" dxfId="19" priority="24">
      <formula>I48 &gt; 50</formula>
    </cfRule>
    <cfRule type="expression" dxfId="18" priority="25">
      <formula>I48 &gt; 25</formula>
    </cfRule>
    <cfRule type="expression" dxfId="17" priority="26">
      <formula>I48 &gt; 10</formula>
    </cfRule>
    <cfRule type="expression" dxfId="16" priority="27">
      <formula>I48 &gt; 0</formula>
    </cfRule>
    <cfRule type="expression" dxfId="15" priority="28">
      <formula>I48 = 0</formula>
    </cfRule>
  </conditionalFormatting>
  <conditionalFormatting sqref="C89:G89 H88 C88:F88 G87:H87 C87:E87 F86:H86 C86:D86 E85:H85 C85 D84:H84">
    <cfRule type="colorScale" priority="5">
      <colorScale>
        <cfvo type="min"/>
        <cfvo type="percentile" val="50"/>
        <cfvo type="max"/>
        <color rgb="FFFF5D5D"/>
        <color rgb="FFFFE48F"/>
        <color rgb="FF00DE64"/>
      </colorScale>
    </cfRule>
  </conditionalFormatting>
  <conditionalFormatting sqref="I84:I89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{DA325678-7249-4AF5-95F7-DF4AD7D7C078}</x14:id>
        </ext>
      </extLst>
    </cfRule>
  </conditionalFormatting>
  <conditionalFormatting sqref="C92:C101">
    <cfRule type="colorScale" priority="2">
      <colorScale>
        <cfvo type="min"/>
        <cfvo type="max"/>
        <color rgb="FFFCFCFF"/>
        <color rgb="FFF8696B"/>
      </colorScale>
    </cfRule>
  </conditionalFormatting>
  <conditionalFormatting sqref="D92:D101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9" orientation="portrait" horizontalDpi="4294967293" verticalDpi="4294967293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325678-7249-4AF5-95F7-DF4AD7D7C0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I84:I89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92785-4C5D-4A83-A698-1358036662B9}">
  <dimension ref="A1"/>
  <sheetViews>
    <sheetView zoomScale="70" zoomScaleNormal="70" workbookViewId="0">
      <selection activeCell="M27" sqref="M27"/>
    </sheetView>
  </sheetViews>
  <sheetFormatPr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complete_testing</vt:lpstr>
      <vt:lpstr>tables</vt:lpstr>
      <vt:lpstr>diagrams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Pascal Anema</dc:creator>
  <cp:lastModifiedBy>Pascal Anema</cp:lastModifiedBy>
  <dcterms:created xsi:type="dcterms:W3CDTF">2021-01-17T14:39:22Z</dcterms:created>
  <dcterms:modified xsi:type="dcterms:W3CDTF">2021-01-18T11:12:52Z</dcterms:modified>
</cp:coreProperties>
</file>